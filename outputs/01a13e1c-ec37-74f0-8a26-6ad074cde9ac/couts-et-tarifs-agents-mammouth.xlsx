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edd09becc4c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a4fd222517424230"/>
    <x:sheet xmlns:r="http://schemas.openxmlformats.org/officeDocument/2006/relationships" name="Unités" sheetId="2" r:id="Rf0137328c1744253"/>
    <x:sheet xmlns:r="http://schemas.openxmlformats.org/officeDocument/2006/relationships" name="Hypothèses" sheetId="3" r:id="R08cd87c4743840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"/>
    <x:numFmt numFmtId="201" formatCode="#,##0.00;(#,##0.00);&quot;—&quot;"/>
    <x:numFmt numFmtId="202" formatCode="0.0%;(0.0%);&quot;—&quot;"/>
    <x:numFmt numFmtId="203" formatCode="0.00"/>
    <x:numFmt numFmtId="204" formatCode="#,##0"/>
    <x:numFmt numFmtId="205" formatCode="#,##0.00&quot; €&quot;;(#,##0.00&quot; €&quot;);&quot;—&quot;"/>
    <x:numFmt numFmtId="206" formatCode="0.0"/>
    <x:numFmt numFmtId="207" formatCode="0.0000"/>
  </x:numFmts>
  <x:fonts count="8">
    <x:font>
      <x:sz val="11"/>
      <x:name val="Carlito"/>
    </x:font>
    <x:font>
      <x:sz val="10"/>
      <x:color rgb="FF231F20"/>
      <x:name val="Arial"/>
    </x:font>
    <x:font>
      <x:b/>
      <x:sz val="16"/>
      <x:color rgb="FF231F20"/>
      <x:name val="Arial"/>
    </x:font>
    <x:font>
      <x:sz val="10"/>
      <x:color rgb="FF0000FF"/>
      <x:name val="Arial"/>
    </x:font>
    <x:font>
      <x:sz val="10"/>
      <x:color rgb="FF176D39"/>
      <x:name val="Arial"/>
    </x:font>
    <x:font>
      <x:b/>
      <x:sz val="10"/>
      <x:color rgb="FFFFFFFF"/>
      <x:name val="Arial"/>
    </x:font>
    <x:font>
      <x:b/>
      <x:sz val="10"/>
      <x:color rgb="FF231F20"/>
      <x:name val="Arial"/>
    </x:font>
    <x:font>
      <x:sz val="10"/>
      <x:color rgb="FF68696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EFB"/>
      </x:patternFill>
    </x:fill>
    <x:fill>
      <x:patternFill patternType="solid">
        <x:fgColor rgb="FFFFF2CC"/>
      </x:patternFill>
    </x:fill>
    <x:fill>
      <x:patternFill patternType="solid">
        <x:fgColor rgb="FF176D39"/>
      </x:patternFill>
    </x:fill>
    <x:fill>
      <x:patternFill patternType="solid">
        <x:fgColor rgb="FFEAF5E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76D39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201" fontId="3" fillId="3" borderId="0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205" fontId="1" fillId="2" borderId="0" xfId="0" applyNumberFormat="1" applyFont="1" applyFill="1" applyBorder="1" applyAlignment="1">
      <x:alignment vertical="center"/>
    </x:xf>
    <x:xf numFmtId="206" fontId="1" fillId="2" borderId="0" xfId="0" applyNumberFormat="1" applyFont="1" applyFill="1" applyBorder="1" applyAlignment="1">
      <x:alignment vertical="center"/>
    </x:xf>
    <x:xf numFmtId="205" fontId="3" fillId="3" borderId="0" xfId="0" applyNumberFormat="1" applyFont="1" applyFill="1" applyBorder="1" applyAlignment="1">
      <x:alignment vertical="center"/>
    </x:xf>
    <x:xf numFmtId="204" fontId="3" fillId="3" borderId="0" xfId="0" applyNumberFormat="1" applyFont="1" applyFill="1" applyBorder="1" applyAlignment="1">
      <x:alignment vertical="center"/>
    </x:xf>
    <x:xf numFmtId="203" fontId="3" fillId="3" borderId="0" xfId="0" applyNumberFormat="1" applyFont="1" applyFill="1" applyBorder="1" applyAlignment="1">
      <x:alignment vertical="center"/>
    </x:xf>
    <x:xf numFmtId="207" fontId="1" fillId="2" borderId="0" xfId="0" applyNumberFormat="1" applyFont="1" applyFill="1" applyBorder="1" applyAlignment="1">
      <x:alignment vertical="center"/>
    </x:xf>
    <x:xf numFmtId="207" fontId="3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205" fontId="6" fillId="5" borderId="0" xfId="0" applyNumberFormat="1" applyFont="1" applyFill="1" applyBorder="1" applyAlignment="1">
      <x:alignment vertical="center"/>
    </x:xf>
    <x:xf numFmtId="205" fontId="1" fillId="2" borderId="0" xfId="0" applyNumberFormat="1" applyFont="1" applyFill="1" applyBorder="1" applyAlignment="1">
      <x:alignment vertical="center" wrapText="1"/>
    </x:xf>
    <x:xf numFmtId="205" fontId="6" fillId="2" borderId="0" xfId="0" applyNumberFormat="1" applyFont="1" applyFill="1" applyBorder="1" applyAlignment="1">
      <x:alignment vertical="center"/>
    </x:xf>
    <x:xf numFmtId="203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205" fontId="6" fillId="2" borderId="1" xfId="0" applyNumberFormat="1" applyFont="1" applyFill="1" applyBorder="1" applyAlignment="1">
      <x:alignment vertical="center"/>
    </x:xf>
    <x:xf numFmtId="203" fontId="6" fillId="2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9B2525"/>
      </x:font>
      <x:fill>
        <x:patternFill patternType="solid">
          <x:bgColor rgb="FFFDE8E5"/>
        </x:patternFill>
      </x:fill>
    </x:dxf>
    <x:dxf>
      <x:font>
        <x:color rgb="FF805500"/>
      </x:font>
      <x:fill>
        <x:patternFill patternType="solid">
          <x:bgColor rgb="FFFFF2CC"/>
        </x:patternFill>
      </x:fill>
    </x:dxf>
    <x:dxf>
      <x:font>
        <x:b/>
        <x:color rgb="FF9B2525"/>
      </x:font>
      <x:fill>
        <x:patternFill patternType="solid">
          <x:bgColor rgb="FFFDE8E5"/>
        </x:patternFill>
      </x:fill>
    </x:dxf>
    <x:dxf>
      <x:font>
        <x:b/>
        <x:color rgb="FF9B2525"/>
      </x:font>
      <x:fill>
        <x:patternFill patternType="solid">
          <x:bgColor rgb="FFFDE8E5"/>
        </x:patternFill>
      </x:fill>
    </x:dxf>
    <x:dxf>
      <x:font>
        <x:b/>
        <x:color rgb="FF9B2525"/>
      </x:font>
      <x:fill>
        <x:patternFill patternType="solid">
          <x:bgColor rgb="FFFDE8E5"/>
        </x:patternFill>
      </x:fill>
    </x:dxf>
    <x:dxf>
      <x:font>
        <x:b/>
        <x:color rgb="FF9B2525"/>
      </x:font>
      <x:fill>
        <x:patternFill patternType="solid">
          <x:bgColor rgb="FFFDE8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eb5d8f84c4503" /><Relationship Type="http://schemas.openxmlformats.org/officeDocument/2006/relationships/theme" Target="/xl/theme/theme1.xml" Id="R95bfa74809474fe8" /><Relationship Type="http://schemas.openxmlformats.org/officeDocument/2006/relationships/sharedStrings" Target="/xl/sharedStrings.xml" Id="R25d17f664cdd484a" /><Relationship Type="http://schemas.openxmlformats.org/officeDocument/2006/relationships/worksheet" Target="/xl/worksheets/sheet1.xml" Id="Ra4fd222517424230" /><Relationship Type="http://schemas.openxmlformats.org/officeDocument/2006/relationships/worksheet" Target="/xl/worksheets/sheet2.xml" Id="Rf0137328c1744253" /><Relationship Type="http://schemas.openxmlformats.org/officeDocument/2006/relationships/worksheet" Target="/xl/worksheets/sheet3.xml" Id="R08cd87c4743840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6D39"/>
  </x:sheetPr>
  <x:sheetViews>
    <x:sheetView showGridLines="0" workbookViewId="0"/>
  </x:sheetViews>
  <x:sheetFormatPr defaultRowHeight="15"/>
  <x:cols>
    <x:col min="1" max="1" width="7" hidden="0" customWidth="1"/>
    <x:col min="2" max="2" width="39" hidden="0" customWidth="1"/>
    <x:col min="3" max="3" width="20" hidden="0" customWidth="1"/>
    <x:col min="4" max="4" width="9" hidden="0" customWidth="1"/>
    <x:col min="5" max="5" width="32" hidden="0" customWidth="1"/>
    <x:col min="6" max="6" width="19" hidden="0" customWidth="1"/>
    <x:col min="7" max="7" width="19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4" t="str">
        <x:v>Agents IA : devis et économie mensuelle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3"/>
      <x:c r="B3" s="8" t="str">
        <x:f>'Hypothèses'!E5</x:f>
        <x:v>Base calculée</x:v>
      </x:c>
      <x:c r="C3" s="3"/>
      <x:c r="D3" s="3"/>
      <x:c r="E3" s="3" t="str">
        <x:v>Exemple fictif · 15 octobre 2026</x:v>
      </x:c>
      <x:c r="F3" s="3"/>
      <x:c r="G3" s="3"/>
      <x:c r="H3" s="3"/>
      <x:c r="I3" s="3"/>
      <x:c r="J3" s="3"/>
      <x:c r="K3" s="3"/>
      <x:c r="L3" s="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4" customHeight="1">
      <x:c r="A5" s="3"/>
      <x:c r="B5" s="31" t="str">
        <x:v>Mensuel HT</x:v>
      </x:c>
      <x:c r="C5" s="33" t="n">
        <x:f>C17+C6</x:f>
        <x:v>273</x:v>
      </x:c>
      <x:c r="D5" s="3"/>
      <x:c r="E5" s="3" t="str">
        <x:v>Coûts directs / mois</x:v>
      </x:c>
      <x:c r="F5" s="23" t="n">
        <x:f>F31+'Hypothèses'!$E$16+'Hypothèses'!$E$17/60*'Hypothèses'!$E$10+C17*'Hypothèses'!$E$20+'Hypothèses'!$E$21</x:f>
        <x:v>62.759499999999996</x:v>
      </x:c>
      <x:c r="G5" s="3"/>
      <x:c r="H5" s="3"/>
      <x:c r="I5" s="3"/>
      <x:c r="J5" s="3"/>
      <x:c r="K5" s="3"/>
      <x:c r="L5" s="3"/>
    </x:row>
    <x:row r="6" ht="24" customHeight="1">
      <x:c r="A6" s="3"/>
      <x:c r="B6" s="3" t="str">
        <x:v>Consommation HT</x:v>
      </x:c>
      <x:c r="C6" s="23" t="n">
        <x:f>E31</x:f>
        <x:v>174</x:v>
      </x:c>
      <x:c r="D6" s="3"/>
      <x:c r="E6" s="3" t="str">
        <x:v>Marge brute</x:v>
      </x:c>
      <x:c r="F6" s="15" t="n">
        <x:f>(C5-F5)/C5</x:f>
        <x:v>0.7701117216117216</x:v>
      </x:c>
      <x:c r="G6" s="3"/>
      <x:c r="H6" s="3"/>
      <x:c r="I6" s="3"/>
      <x:c r="J6" s="3"/>
      <x:c r="K6" s="3"/>
      <x:c r="L6" s="3"/>
    </x:row>
    <x:row r="7" ht="24" customHeight="1">
      <x:c r="A7" s="3"/>
      <x:c r="B7" s="3" t="str">
        <x:v>Plafond d’usage HT</x:v>
      </x:c>
      <x:c r="C7" s="25" t="n">
        <x:v>200</x:v>
      </x:c>
      <x:c r="D7" s="3"/>
      <x:c r="E7" s="3" t="str">
        <x:v>Frais généraux alloués</x:v>
      </x:c>
      <x:c r="F7" s="23" t="n">
        <x:f>IF(ISNUMBER('Hypothèses'!B25),'Hypothèses'!B25,NA())</x:f>
        <x:v>30</x:v>
      </x:c>
      <x:c r="G7" s="3"/>
      <x:c r="H7" s="3"/>
      <x:c r="I7" s="3"/>
      <x:c r="J7" s="3"/>
      <x:c r="K7" s="3"/>
      <x:c r="L7" s="3"/>
    </x:row>
    <x:row r="8" ht="24" customHeight="1">
      <x:c r="A8" s="3"/>
      <x:c r="B8" s="3" t="str">
        <x:v>Maximum mensuel HT</x:v>
      </x:c>
      <x:c r="C8" s="23" t="n">
        <x:f>IF(AND(ISNUMBER(C7),C7&gt;=0,ROUND(C7,2)=C7),C17+C7,NA())</x:f>
        <x:v>299</x:v>
      </x:c>
      <x:c r="D8" s="3"/>
      <x:c r="E8" s="3" t="str">
        <x:v>Acquisition amortie</x:v>
      </x:c>
      <x:c r="F8" s="23" t="n">
        <x:f>IF(AND(ISNUMBER('Hypothèses'!B26),ISNUMBER('Hypothèses'!B27),'Hypothèses'!B27&gt;0),'Hypothèses'!B26/'Hypothèses'!B27,NA())</x:f>
        <x:v>25</x:v>
      </x:c>
      <x:c r="G8" s="3"/>
      <x:c r="H8" s="3"/>
      <x:c r="I8" s="3"/>
      <x:c r="J8" s="3"/>
      <x:c r="K8" s="3"/>
      <x:c r="L8" s="3"/>
    </x:row>
    <x:row r="9" ht="24" customHeight="1">
      <x:c r="A9" s="3"/>
      <x:c r="B9" s="3" t="str">
        <x:v>Budget restant HT</x:v>
      </x:c>
      <x:c r="C9" s="23" t="n">
        <x:f>C8-C5</x:f>
        <x:v>26</x:v>
      </x:c>
      <x:c r="D9" s="3"/>
      <x:c r="E9" s="3" t="str">
        <x:v>Catalogue amorti</x:v>
      </x:c>
      <x:c r="F9" s="23" t="n">
        <x:f>IF(AND(ISNUMBER('Hypothèses'!B28),ISNUMBER('Hypothèses'!B29),'Hypothèses'!B29&gt;0),'Hypothèses'!B28/'Hypothèses'!B29,NA())</x:f>
        <x:v>25</x:v>
      </x:c>
      <x:c r="G9" s="3"/>
      <x:c r="H9" s="3"/>
      <x:c r="I9" s="3"/>
      <x:c r="J9" s="3"/>
      <x:c r="K9" s="3"/>
      <x:c r="L9" s="3"/>
    </x:row>
    <x:row r="10" ht="34" customHeight="1">
      <x:c r="A10" s="3"/>
      <x:c r="B10" s="3" t="str">
        <x:v>État du budget</x:v>
      </x:c>
      <x:c r="C10" s="34" t="str">
        <x:f>IF(C9&gt;=0,"Dans le plafond","Plafond dépassé")</x:f>
        <x:v>Dans le plafond</x:v>
      </x:c>
      <x:c r="D10" s="3"/>
      <x:c r="E10" s="31" t="str">
        <x:v>Contribution mensuelle</x:v>
      </x:c>
      <x:c r="F10" s="33" t="n">
        <x:f>C5-F5-SUM(F7:F9)</x:f>
        <x:v>130.2405</x:v>
      </x:c>
      <x:c r="G10" s="3"/>
      <x:c r="H10" s="3"/>
      <x:c r="I10" s="3"/>
      <x:c r="J10" s="3"/>
      <x:c r="K10" s="3"/>
      <x:c r="L10" s="3"/>
    </x:row>
    <x:row r="11" ht="24" customHeight="1">
      <x:c r="A11" s="3"/>
      <x:c r="B11" s="3" t="str"/>
      <x:c r="C11" s="23"/>
      <x:c r="D11" s="3"/>
      <x:c r="E11" s="3" t="str"/>
      <x:c r="F11" s="23"/>
      <x:c r="G11" s="3"/>
      <x:c r="H11" s="3"/>
      <x:c r="I11" s="3"/>
      <x:c r="J11" s="3"/>
      <x:c r="K11" s="3"/>
      <x:c r="L11" s="3"/>
    </x:row>
    <x:row r="12" ht="24" customHeight="1">
      <x:c r="A12" s="3"/>
      <x:c r="B12" s="3" t="str">
        <x:v>Installation (0 à 3)</x:v>
      </x:c>
      <x:c r="C12" s="7" t="n">
        <x:v>1</x:v>
      </x:c>
      <x:c r="D12" s="3"/>
      <x:c r="E12" s="3" t="str">
        <x:v>Temps humain h / mois</x:v>
      </x:c>
      <x:c r="F12" s="20" t="n">
        <x:f>G31+'Hypothèses'!E17/60</x:f>
        <x:v>0.5166666666666666</x:v>
      </x:c>
      <x:c r="G12" s="3"/>
      <x:c r="H12" s="3"/>
      <x:c r="I12" s="3"/>
      <x:c r="J12" s="3"/>
      <x:c r="K12" s="3"/>
      <x:c r="L12" s="3"/>
    </x:row>
    <x:row r="13" ht="24" customHeight="1">
      <x:c r="A13" s="3"/>
      <x:c r="B13" s="3" t="str">
        <x:v>Mise en service HT</x:v>
      </x:c>
      <x:c r="C13" s="23" t="n">
        <x:f>IF(AND(ISNUMBER(C12),C12&gt;=0,C12&lt;=3,INT(C12)=C12),IF(C12=0,0,IF(INDEX('Unités'!$B$34:$B$36,C12)&gt;0,INDEX('Unités'!$B$34:$B$36,C12),NA())),NA())</x:f>
        <x:v>790</x:v>
      </x:c>
      <x:c r="D13" s="3"/>
      <x:c r="E13" s="3" t="str">
        <x:v>Coût de mise en service</x:v>
      </x:c>
      <x:c r="F13" s="23" t="n">
        <x:f>IF(C13=0,0,INDEX('Unités'!$H$34:$H$36,C12))</x:f>
        <x:v>326.3</x:v>
      </x:c>
      <x:c r="G13" s="3"/>
      <x:c r="H13" s="3"/>
      <x:c r="I13" s="3"/>
      <x:c r="J13" s="3"/>
      <x:c r="K13" s="3"/>
      <x:c r="L13" s="3"/>
    </x:row>
    <x:row r="14" ht="24" customHeight="1">
      <x:c r="A14" s="3"/>
      <x:c r="B14" s="3" t="str">
        <x:v>Premier mois HT</x:v>
      </x:c>
      <x:c r="C14" s="23" t="n">
        <x:f>C5+C13</x:f>
        <x:v>1063</x:v>
      </x:c>
      <x:c r="D14" s="3"/>
      <x:c r="E14" s="3" t="str">
        <x:v>Marge installation</x:v>
      </x:c>
      <x:c r="F14" s="15" t="n">
        <x:f>IF(C13=0,"n.a.",(C13-F13)/C13)</x:f>
        <x:v>0.5869620253164557</x:v>
      </x:c>
      <x:c r="G14" s="3"/>
      <x:c r="H14" s="3"/>
      <x:c r="I14" s="3"/>
      <x:c r="J14" s="3"/>
      <x:c r="K14" s="3"/>
      <x:c r="L14" s="3"/>
    </x:row>
    <x:row r="15" ht="24" customHeight="1">
      <x:c r="A15" s="3"/>
      <x:c r="B15" s="3" t="str">
        <x:v>Maximum premier mois HT</x:v>
      </x:c>
      <x:c r="C15" s="23" t="n">
        <x:f>C8+C13</x:f>
        <x:v>1089</x:v>
      </x:c>
      <x:c r="D15" s="3"/>
      <x:c r="E15" s="3" t="str">
        <x:v>Contribution première année</x:v>
      </x:c>
      <x:c r="F15" s="23" t="n">
        <x:f>12*F10+C13-F13</x:f>
        <x:v>2026.586</x:v>
      </x:c>
      <x:c r="G15" s="3"/>
      <x:c r="H15" s="3"/>
      <x:c r="I15" s="3"/>
      <x:c r="J15" s="3"/>
      <x:c r="K15" s="3"/>
      <x:c r="L15" s="3"/>
    </x:row>
    <x:row r="16" ht="24" customHeight="1">
      <x:c r="A16" s="3"/>
      <x:c r="B16" s="3" t="str">
        <x:v>Première année HT</x:v>
      </x:c>
      <x:c r="C16" s="23" t="n">
        <x:f>12*C5+C13</x:f>
        <x:v>4066</x:v>
      </x:c>
      <x:c r="D16" s="3"/>
      <x:c r="E16" s="3"/>
      <x:c r="F16" s="3"/>
      <x:c r="G16" s="3"/>
      <x:c r="H16" s="3"/>
      <x:c r="I16" s="3"/>
      <x:c r="J16" s="3"/>
      <x:c r="K16" s="3"/>
      <x:c r="L16" s="3"/>
    </x:row>
    <x:row r="17" ht="24" customHeight="1">
      <x:c r="A17" s="3"/>
      <x:c r="B17" s="3" t="str">
        <x:v>Socle HT / mois</x:v>
      </x:c>
      <x:c r="C17" s="23" t="n">
        <x:f>IF(AND(ISNUMBER('Hypothèses'!B24),'Hypothèses'!B24&gt;=0),'Hypothèses'!B24,NA())</x:f>
        <x:v>99</x:v>
      </x:c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4" customHeight="1">
      <x:c r="A18" s="3"/>
      <x:c r="B18" s="3" t="str">
        <x:v>Contribution avant impôts et frais non alloués. Les coûts sont des hypothèses.</x:v>
      </x:c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24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24" customHeight="1">
      <x:c r="A20" s="3"/>
      <x:c r="B20" s="19" t="str">
        <x:v>Travaux du mois — quantités modifiables</x:v>
      </x:c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34" customHeight="1">
      <x:c r="A21" s="12" t="str">
        <x:v>Unité</x:v>
      </x:c>
      <x:c r="B21" s="12" t="str">
        <x:v>Travail</x:v>
      </x:c>
      <x:c r="C21" s="12" t="str">
        <x:v>Prix HT</x:v>
      </x:c>
      <x:c r="D21" s="12" t="str">
        <x:v>Qté</x:v>
      </x:c>
      <x:c r="E21" s="12" t="str">
        <x:v>Usage HT</x:v>
      </x:c>
      <x:c r="F21" s="12" t="str">
        <x:v>Coût direct</x:v>
      </x:c>
      <x:c r="G21" s="12" t="str">
        <x:v>Humain h</x:v>
      </x:c>
      <x:c r="H21" s="3"/>
      <x:c r="I21" s="3"/>
      <x:c r="J21" s="3"/>
      <x:c r="K21" s="3"/>
      <x:c r="L21" s="3"/>
    </x:row>
    <x:row r="22" ht="30" customHeight="1">
      <x:c r="A22" s="3" t="str">
        <x:v>U1</x:v>
      </x:c>
      <x:c r="B22" s="3" t="str">
        <x:v>Pièce lue et structurée</x:v>
      </x:c>
      <x:c r="C22" s="23" t="n">
        <x:f>'Unités'!B6</x:f>
        <x:v>1</x:v>
      </x:c>
      <x:c r="D22" s="26" t="n">
        <x:v>100</x:v>
      </x:c>
      <x:c r="E22" s="23" t="n">
        <x:f>IF(AND(ISNUMBER(D22),D22&gt;=0,INT(D22)=D22),C22*D22,NA())</x:f>
        <x:v>100</x:v>
      </x:c>
      <x:c r="F22" s="23" t="n">
        <x:f>D22*'Unités'!G6</x:f>
        <x:v>18.441666666666666</x:v>
      </x:c>
      <x:c r="G22" s="20" t="n">
        <x:f>D22*'Unités'!F20*'Hypothèses'!$E$13/3600</x:f>
        <x:v>0.1388888888888889</x:v>
      </x:c>
      <x:c r="H22" s="3"/>
      <x:c r="I22" s="3"/>
      <x:c r="J22" s="3"/>
      <x:c r="K22" s="3"/>
      <x:c r="L22" s="3"/>
    </x:row>
    <x:row r="23" ht="30" customHeight="1">
      <x:c r="A23" s="3" t="str">
        <x:v>U2</x:v>
      </x:c>
      <x:c r="B23" s="3" t="str">
        <x:v>Message préparé</x:v>
      </x:c>
      <x:c r="C23" s="23" t="n">
        <x:f>'Unités'!B7</x:f>
        <x:v>2</x:v>
      </x:c>
      <x:c r="D23" s="26" t="n">
        <x:v>10</x:v>
      </x:c>
      <x:c r="E23" s="23" t="n">
        <x:f>IF(AND(ISNUMBER(D23),D23&gt;=0,INT(D23)=D23),C23*D23,NA())</x:f>
        <x:v>20</x:v>
      </x:c>
      <x:c r="F23" s="23" t="n">
        <x:f>D23*'Unités'!G7</x:f>
        <x:v>3.209583333333333</x:v>
      </x:c>
      <x:c r="G23" s="20" t="n">
        <x:f>D23*'Unités'!F21*'Hypothèses'!$E$13/3600</x:f>
        <x:v>0.027777777777777776</x:v>
      </x:c>
      <x:c r="H23" s="3"/>
      <x:c r="I23" s="3"/>
      <x:c r="J23" s="3"/>
      <x:c r="K23" s="3"/>
      <x:c r="L23" s="3"/>
    </x:row>
    <x:row r="24" ht="30" customHeight="1">
      <x:c r="A24" s="3" t="str">
        <x:v>U3</x:v>
      </x:c>
      <x:c r="B24" s="3" t="str">
        <x:v>Jeu de données contrôlé</x:v>
      </x:c>
      <x:c r="C24" s="23" t="n">
        <x:f>'Unités'!B8</x:f>
        <x:v>5</x:v>
      </x:c>
      <x:c r="D24" s="26" t="n">
        <x:v>4</x:v>
      </x:c>
      <x:c r="E24" s="23" t="n">
        <x:f>IF(AND(ISNUMBER(D24),D24&gt;=0,INT(D24)=D24),C24*D24,NA())</x:f>
        <x:v>20</x:v>
      </x:c>
      <x:c r="F24" s="23" t="n">
        <x:f>D24*'Unités'!G8</x:f>
        <x:v>3.5774999999999997</x:v>
      </x:c>
      <x:c r="G24" s="20" t="n">
        <x:f>D24*'Unités'!F22*'Hypothèses'!$E$13/3600</x:f>
        <x:v>0.03333333333333333</x:v>
      </x:c>
      <x:c r="H24" s="3"/>
      <x:c r="I24" s="3"/>
      <x:c r="J24" s="3"/>
      <x:c r="K24" s="3"/>
      <x:c r="L24" s="3"/>
    </x:row>
    <x:row r="25" ht="30" customHeight="1">
      <x:c r="A25" s="3" t="str">
        <x:v>U4</x:v>
      </x:c>
      <x:c r="B25" s="3" t="str">
        <x:v>Lot rapproché</x:v>
      </x:c>
      <x:c r="C25" s="23" t="n">
        <x:f>'Unités'!B9</x:f>
        <x:v>10</x:v>
      </x:c>
      <x:c r="D25" s="26" t="n">
        <x:v>1</x:v>
      </x:c>
      <x:c r="E25" s="23" t="n">
        <x:f>IF(AND(ISNUMBER(D25),D25&gt;=0,INT(D25)=D25),C25*D25,NA())</x:f>
        <x:v>10</x:v>
      </x:c>
      <x:c r="F25" s="23" t="n">
        <x:f>D25*'Unités'!G9</x:f>
        <x:v>1.7787499999999998</x:v>
      </x:c>
      <x:c r="G25" s="20" t="n">
        <x:f>D25*'Unités'!F23*'Hypothèses'!$E$13/3600</x:f>
        <x:v>0.016666666666666666</x:v>
      </x:c>
      <x:c r="H25" s="3"/>
      <x:c r="I25" s="3"/>
      <x:c r="J25" s="3"/>
      <x:c r="K25" s="3"/>
      <x:c r="L25" s="3"/>
    </x:row>
    <x:row r="26" ht="30" customHeight="1">
      <x:c r="A26" s="3" t="str">
        <x:v>U5</x:v>
      </x:c>
      <x:c r="B26" s="3" t="str">
        <x:v>Synthèse préparée</x:v>
      </x:c>
      <x:c r="C26" s="23" t="n">
        <x:f>'Unités'!B10</x:f>
        <x:v>12</x:v>
      </x:c>
      <x:c r="D26" s="26" t="n">
        <x:v>2</x:v>
      </x:c>
      <x:c r="E26" s="23" t="n">
        <x:f>IF(AND(ISNUMBER(D26),D26&gt;=0,INT(D26)=D26),C26*D26,NA())</x:f>
        <x:v>24</x:v>
      </x:c>
      <x:c r="F26" s="23" t="n">
        <x:f>D26*'Unités'!G10</x:f>
        <x:v>4.772</x:v>
      </x:c>
      <x:c r="G26" s="20" t="n">
        <x:f>D26*'Unités'!F24*'Hypothèses'!$E$13/3600</x:f>
        <x:v>0.05</x:v>
      </x:c>
      <x:c r="H26" s="3"/>
      <x:c r="I26" s="3"/>
      <x:c r="J26" s="3"/>
      <x:c r="K26" s="3"/>
      <x:c r="L26" s="3"/>
    </x:row>
    <x:row r="27" ht="30" customHeight="1">
      <x:c r="A27" s="3" t="str">
        <x:v>U6</x:v>
      </x:c>
      <x:c r="B27" s="3" t="str">
        <x:v>Dossier préparé pour revue</x:v>
      </x:c>
      <x:c r="C27" s="23" t="n">
        <x:f>'Unités'!B11</x:f>
        <x:v>25</x:v>
      </x:c>
      <x:c r="D27" s="26" t="n">
        <x:v>0</x:v>
      </x:c>
      <x:c r="E27" s="23" t="n">
        <x:f>IF(AND(ISNUMBER(D27),D27&gt;=0,INT(D27)=D27),C27*D27,NA())</x:f>
        <x:v>0</x:v>
      </x:c>
      <x:c r="F27" s="23" t="n">
        <x:f>D27*'Unités'!G11</x:f>
        <x:v>0</x:v>
      </x:c>
      <x:c r="G27" s="20" t="n">
        <x:f>D27*'Unités'!F25*'Hypothèses'!$E$13/3600</x:f>
        <x:v>0</x:v>
      </x:c>
      <x:c r="H27" s="3"/>
      <x:c r="I27" s="3"/>
      <x:c r="J27" s="3"/>
      <x:c r="K27" s="3"/>
      <x:c r="L27" s="3"/>
    </x:row>
    <x:row r="28" ht="30" customHeight="1">
      <x:c r="A28" s="3" t="str">
        <x:v>U7</x:v>
      </x:c>
      <x:c r="B28" s="3" t="str">
        <x:v>Reporting préparé</x:v>
      </x:c>
      <x:c r="C28" s="23" t="n">
        <x:f>'Unités'!B12</x:f>
        <x:v>39</x:v>
      </x:c>
      <x:c r="D28" s="26" t="n">
        <x:v>0</x:v>
      </x:c>
      <x:c r="E28" s="23" t="n">
        <x:f>IF(AND(ISNUMBER(D28),D28&gt;=0,INT(D28)=D28),C28*D28,NA())</x:f>
        <x:v>0</x:v>
      </x:c>
      <x:c r="F28" s="23" t="n">
        <x:f>D28*'Unités'!G12</x:f>
        <x:v>0</x:v>
      </x:c>
      <x:c r="G28" s="20" t="n">
        <x:f>D28*'Unités'!F26*'Hypothèses'!$E$13/3600</x:f>
        <x:v>0</x:v>
      </x:c>
      <x:c r="H28" s="3"/>
      <x:c r="I28" s="3"/>
      <x:c r="J28" s="3"/>
      <x:c r="K28" s="3"/>
      <x:c r="L28" s="3"/>
    </x:row>
    <x:row r="29" ht="30" customHeight="1">
      <x:c r="A29" s="3" t="str">
        <x:v>U8</x:v>
      </x:c>
      <x:c r="B29" s="3" t="str">
        <x:v>Scénario financier préparé</x:v>
      </x:c>
      <x:c r="C29" s="23" t="n">
        <x:f>'Unités'!B13</x:f>
        <x:v>79</x:v>
      </x:c>
      <x:c r="D29" s="26" t="n">
        <x:v>0</x:v>
      </x:c>
      <x:c r="E29" s="23" t="n">
        <x:f>IF(AND(ISNUMBER(D29),D29&gt;=0,INT(D29)=D29),C29*D29,NA())</x:f>
        <x:v>0</x:v>
      </x:c>
      <x:c r="F29" s="23" t="n">
        <x:f>D29*'Unités'!G13</x:f>
        <x:v>0</x:v>
      </x:c>
      <x:c r="G29" s="20" t="n">
        <x:f>D29*'Unités'!F27*'Hypothèses'!$E$13/3600</x:f>
        <x:v>0</x:v>
      </x:c>
      <x:c r="H29" s="3"/>
      <x:c r="I29" s="3"/>
      <x:c r="J29" s="3"/>
      <x:c r="K29" s="3"/>
      <x:c r="L29" s="3"/>
    </x:row>
    <x:row r="30" ht="24" customHeight="1">
      <x:c r="A30" s="3"/>
      <x:c r="B30" s="3"/>
      <x:c r="C30" s="3"/>
      <x:c r="D30" s="3"/>
      <x:c r="E30" s="23"/>
      <x:c r="F30" s="23"/>
      <x:c r="G30" s="20"/>
      <x:c r="H30" s="3"/>
      <x:c r="I30" s="3"/>
      <x:c r="J30" s="3"/>
      <x:c r="K30" s="3"/>
      <x:c r="L30" s="3"/>
    </x:row>
    <x:row r="31" ht="24" customHeight="1">
      <x:c r="A31" s="3"/>
      <x:c r="B31" s="37" t="str">
        <x:v>Total consommation</x:v>
      </x:c>
      <x:c r="C31" s="37"/>
      <x:c r="D31" s="37"/>
      <x:c r="E31" s="38" t="n">
        <x:f>SUM(E22:E29)</x:f>
        <x:v>174</x:v>
      </x:c>
      <x:c r="F31" s="38" t="n">
        <x:f>SUM(F22:F29)</x:f>
        <x:v>31.7795</x:v>
      </x:c>
      <x:c r="G31" s="39" t="n">
        <x:f>SUM(G22:G29)</x:f>
        <x:v>0.26666666666666666</x:v>
      </x:c>
      <x:c r="H31" s="3"/>
      <x:c r="I31" s="3"/>
      <x:c r="J31" s="3"/>
      <x:c r="K31" s="3"/>
      <x:c r="L31" s="3"/>
    </x:row>
    <x:row r="32" ht="24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24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24" customHeight="1">
      <x:c r="A34" s="3"/>
      <x:c r="B34" s="22" t="str">
        <x:v>0 = sans installation ; 1 = standard ; 2 = adaptation ; 3 = création à partir de.</x:v>
      </x:c>
      <x:c r="C34" s="22"/>
      <x:c r="D34" s="22"/>
      <x:c r="E34" s="22"/>
      <x:c r="F34" s="22"/>
      <x:c r="G34" s="22"/>
      <x:c r="H34" s="3"/>
      <x:c r="I34" s="3"/>
      <x:c r="J34" s="3"/>
      <x:c r="K34" s="3"/>
      <x:c r="L34" s="3"/>
    </x:row>
    <x:row r="35" ht="24" customHeight="1">
      <x:c r="A35" s="3"/>
      <x:c r="B35" s="22" t="str">
        <x:v>Le plafond est une règle de devis proposée. Ce fichier ne pilote aucun agent.</x:v>
      </x:c>
      <x:c r="C35" s="22"/>
      <x:c r="D35" s="22"/>
      <x:c r="E35" s="22"/>
      <x:c r="F35" s="22"/>
      <x:c r="G35" s="22"/>
      <x:c r="H35" s="3"/>
      <x:c r="I35" s="3"/>
      <x:c r="J35" s="3"/>
      <x:c r="K35" s="3"/>
      <x:c r="L35" s="3"/>
    </x:row>
    <x:row r="36" ht="24" customHeight="1">
      <x:c r="A36" s="3"/>
      <x:c r="B36" s="22" t="str">
        <x:v>Pour comparer les coûts : choisir 1, 2 ou 3 dans Hypothèses!C5.</x:v>
      </x:c>
      <x:c r="C36" s="22"/>
      <x:c r="D36" s="22"/>
      <x:c r="E36" s="22"/>
      <x:c r="F36" s="22"/>
      <x:c r="G36" s="22"/>
      <x:c r="H36" s="3"/>
      <x:c r="I36" s="3"/>
      <x:c r="J36" s="3"/>
      <x:c r="K36" s="3"/>
      <x:c r="L36" s="3"/>
    </x:row>
    <x:row r="37" ht="24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4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24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24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24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24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 ht="24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 ht="24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24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4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24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 ht="24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 ht="24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 ht="24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</x:sheetData>
  <x:conditionalFormatting sqref="C9:C9">
    <x:cfRule type="cellIs" dxfId="2" priority="1" operator="lessThan">
      <x:formula>0</x:formula>
    </x:cfRule>
  </x:conditionalFormatting>
  <x:conditionalFormatting sqref="F10:F10">
    <x:cfRule type="cellIs" dxfId="3" priority="2" operator="lessThan">
      <x:formula>0</x:formula>
    </x:cfRule>
  </x:conditionalFormatting>
  <x:conditionalFormatting sqref="F15:F15">
    <x:cfRule type="cellIs" dxfId="4" priority="3" operator="lessThan">
      <x:formula>0</x:formula>
    </x:cfRule>
  </x:conditionalFormatting>
  <x:conditionalFormatting sqref="C10:C10">
    <x:cfRule type="containsText" dxfId="5" priority="4" operator="containsText" text="dépassé"/>
  </x:conditionalFormatting>
  <x:dataValidations count="2">
    <x:dataValidation type="whole" operator="between" sqref="C12">
      <x:formula1>0</x:formula1>
      <x:formula2>3</x:formula2>
    </x:dataValidation>
    <x:dataValidation type="whole" operator="between" sqref="D22:D29">
      <x:formula1>0</x:formula1>
      <x:formula2>1000000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2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3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4" t="str">
        <x:v>Prix proposés et coûts par travail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3"/>
      <x:c r="B3" s="8" t="str">
        <x:f>'Hypothèses'!E5</x:f>
        <x:v>Base calculée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4" customHeight="1">
      <x:c r="A5" s="12" t="str">
        <x:v>Travail remis</x:v>
      </x:c>
      <x:c r="B5" s="12" t="str">
        <x:v>Prix HT</x:v>
      </x:c>
      <x:c r="C5" s="12" t="str">
        <x:v>API €</x:v>
      </x:c>
      <x:c r="D5" s="12" t="str">
        <x:v>Humain €</x:v>
      </x:c>
      <x:c r="E5" s="12" t="str">
        <x:v>Autres €</x:v>
      </x:c>
      <x:c r="F5" s="12" t="str">
        <x:v>Encais. €</x:v>
      </x:c>
      <x:c r="G5" s="12" t="str">
        <x:v>Coût direct €</x:v>
      </x:c>
      <x:c r="H5" s="12" t="str">
        <x:v>Marge</x:v>
      </x:c>
      <x:c r="I5" s="12" t="str">
        <x:v>Humain max. s*</x:v>
      </x:c>
      <x:c r="J5" s="3"/>
      <x:c r="K5" s="3"/>
      <x:c r="L5" s="3"/>
    </x:row>
    <x:row r="6" ht="32" customHeight="1">
      <x:c r="A6" s="3" t="str">
        <x:v>U1 · Pièce lue et structurée</x:v>
      </x:c>
      <x:c r="B6" s="23" t="n">
        <x:f>IF(AND(ISNUMBER(B20),B20&gt;0),B20,NA())</x:f>
        <x:v>1</x:v>
      </x:c>
      <x:c r="C6" s="23" t="n">
        <x:f>IF(AND(COUNT(D20:E20)=2,D20&gt;=0,E20&gt;=0,I20&gt;0,J20&gt;0),(D20*I20+E20*J20)/1000000*'Hypothèses'!$E$9*'Hypothèses'!$E$11*'Hypothèses'!$E$12*'Hypothèses'!$E$19,NA())</x:f>
        <x:v>0.03025</x:v>
      </x:c>
      <x:c r="D6" s="23" t="n">
        <x:f>IF(AND(ISNUMBER(F20),F20&gt;=0),F20*'Hypothèses'!$E$13/3600*'Hypothèses'!$E$10,NA())</x:f>
        <x:v>0.10416666666666667</x:v>
      </x:c>
      <x:c r="E6" s="23" t="n">
        <x:f>IF(AND(ISNUMBER(G20),G20&gt;=0),G20*'Hypothèses'!$E$14,NA())</x:f>
        <x:v>0.03</x:v>
      </x:c>
      <x:c r="F6" s="23" t="n">
        <x:f>B6*'Hypothèses'!$E$20</x:f>
        <x:v>0.02</x:v>
      </x:c>
      <x:c r="G6" s="23" t="n">
        <x:f>SUM(C6:F6)</x:f>
        <x:v>0.18441666666666667</x:v>
      </x:c>
      <x:c r="H6" s="15" t="n">
        <x:f>(B6-G6)/B6</x:f>
        <x:v>0.8155833333333333</x:v>
      </x:c>
      <x:c r="I6" s="24" t="n">
        <x:f>(B6*(1-'Hypothèses'!$B$30)-C6-E6-F6)/'Hypothèses'!$E$10*3600</x:f>
        <x:v>10.548000000000002</x:v>
      </x:c>
      <x:c r="J6" s="3"/>
      <x:c r="K6" s="3"/>
      <x:c r="L6" s="3"/>
    </x:row>
    <x:row r="7" ht="32" customHeight="1">
      <x:c r="A7" s="3" t="str">
        <x:v>U2 · Message préparé</x:v>
      </x:c>
      <x:c r="B7" s="23" t="n">
        <x:f>IF(AND(ISNUMBER(B21),B21&gt;0),B21,NA())</x:f>
        <x:v>2</x:v>
      </x:c>
      <x:c r="C7" s="23" t="n">
        <x:f>IF(AND(COUNT(D21:E21)=2,D21&gt;=0,E21&gt;=0,I21&gt;0,J21&gt;0),(D21*I21+E21*J21)/1000000*'Hypothèses'!$E$9*'Hypothèses'!$E$11*'Hypothèses'!$E$12*'Hypothèses'!$E$19,NA())</x:f>
        <x:v>0.04262500000000001</x:v>
      </x:c>
      <x:c r="D7" s="23" t="n">
        <x:f>IF(AND(ISNUMBER(F21),F21&gt;=0),F21*'Hypothèses'!$E$13/3600*'Hypothèses'!$E$10,NA())</x:f>
        <x:v>0.20833333333333334</x:v>
      </x:c>
      <x:c r="E7" s="23" t="n">
        <x:f>IF(AND(ISNUMBER(G21),G21&gt;=0),G21*'Hypothèses'!$E$14,NA())</x:f>
        <x:v>0.03</x:v>
      </x:c>
      <x:c r="F7" s="23" t="n">
        <x:f>B7*'Hypothèses'!$E$20</x:f>
        <x:v>0.04</x:v>
      </x:c>
      <x:c r="G7" s="23" t="n">
        <x:f>SUM(C7:F7)</x:f>
        <x:v>0.3209583333333333</x:v>
      </x:c>
      <x:c r="H7" s="15" t="n">
        <x:f>(B7-G7)/B7</x:f>
        <x:v>0.8395208333333334</x:v>
      </x:c>
      <x:c r="I7" s="24" t="n">
        <x:f>(B7*(1-'Hypothèses'!$B$30)-C7-E7-F7)/'Hypothèses'!$E$10*3600</x:f>
        <x:v>23.394000000000002</x:v>
      </x:c>
      <x:c r="J7" s="3"/>
      <x:c r="K7" s="3"/>
      <x:c r="L7" s="3"/>
    </x:row>
    <x:row r="8" ht="32" customHeight="1">
      <x:c r="A8" s="3" t="str">
        <x:v>U3 · Jeu de données contrôlé</x:v>
      </x:c>
      <x:c r="B8" s="23" t="n">
        <x:f>IF(AND(ISNUMBER(B22),B22&gt;0),B22,NA())</x:f>
        <x:v>5</x:v>
      </x:c>
      <x:c r="C8" s="23" t="n">
        <x:f>IF(AND(COUNT(D22:E22)=2,D22&gt;=0,E22&gt;=0,I22&gt;0,J22&gt;0),(D22*I22+E22*J22)/1000000*'Hypothèses'!$E$9*'Hypothèses'!$E$11*'Hypothèses'!$E$12*'Hypothèses'!$E$19,NA())</x:f>
        <x:v>0.08937500000000001</x:v>
      </x:c>
      <x:c r="D8" s="23" t="n">
        <x:f>IF(AND(ISNUMBER(F22),F22&gt;=0),F22*'Hypothèses'!$E$13/3600*'Hypothèses'!$E$10,NA())</x:f>
        <x:v>0.625</x:v>
      </x:c>
      <x:c r="E8" s="23" t="n">
        <x:f>IF(AND(ISNUMBER(G22),G22&gt;=0),G22*'Hypothèses'!$E$14,NA())</x:f>
        <x:v>0.08</x:v>
      </x:c>
      <x:c r="F8" s="23" t="n">
        <x:f>B8*'Hypothèses'!$E$20</x:f>
        <x:v>0.1</x:v>
      </x:c>
      <x:c r="G8" s="23" t="n">
        <x:f>SUM(C8:F8)</x:f>
        <x:v>0.8943749999999999</x:v>
      </x:c>
      <x:c r="H8" s="15" t="n">
        <x:f>(B8-G8)/B8</x:f>
        <x:v>0.821125</x:v>
      </x:c>
      <x:c r="I8" s="24" t="n">
        <x:f>(B8*(1-'Hypothèses'!$B$30)-C8-E8-F8)/'Hypothèses'!$E$10*3600</x:f>
        <x:v>59.07</x:v>
      </x:c>
      <x:c r="J8" s="3"/>
      <x:c r="K8" s="3"/>
      <x:c r="L8" s="3"/>
    </x:row>
    <x:row r="9" ht="32" customHeight="1">
      <x:c r="A9" s="3" t="str">
        <x:v>U4 · Lot rapproché</x:v>
      </x:c>
      <x:c r="B9" s="23" t="n">
        <x:f>IF(AND(ISNUMBER(B23),B23&gt;0),B23,NA())</x:f>
        <x:v>10</x:v>
      </x:c>
      <x:c r="C9" s="23" t="n">
        <x:f>IF(AND(COUNT(D23:E23)=2,D23&gt;=0,E23&gt;=0,I23&gt;0,J23&gt;0),(D23*I23+E23*J23)/1000000*'Hypothèses'!$E$9*'Hypothèses'!$E$11*'Hypothèses'!$E$12*'Hypothèses'!$E$19,NA())</x:f>
        <x:v>0.17875000000000002</x:v>
      </x:c>
      <x:c r="D9" s="23" t="n">
        <x:f>IF(AND(ISNUMBER(F23),F23&gt;=0),F23*'Hypothèses'!$E$13/3600*'Hypothèses'!$E$10,NA())</x:f>
        <x:v>1.25</x:v>
      </x:c>
      <x:c r="E9" s="23" t="n">
        <x:f>IF(AND(ISNUMBER(G23),G23&gt;=0),G23*'Hypothèses'!$E$14,NA())</x:f>
        <x:v>0.15</x:v>
      </x:c>
      <x:c r="F9" s="23" t="n">
        <x:f>B9*'Hypothèses'!$E$20</x:f>
        <x:v>0.2</x:v>
      </x:c>
      <x:c r="G9" s="23" t="n">
        <x:f>SUM(C9:F9)</x:f>
        <x:v>1.7787499999999998</x:v>
      </x:c>
      <x:c r="H9" s="15" t="n">
        <x:f>(B9-G9)/B9</x:f>
        <x:v>0.822125</x:v>
      </x:c>
      <x:c r="I9" s="24" t="n">
        <x:f>(B9*(1-'Hypothèses'!$B$30)-C9-E9-F9)/'Hypothèses'!$E$10*3600</x:f>
        <x:v>118.62000000000002</x:v>
      </x:c>
      <x:c r="J9" s="3"/>
      <x:c r="K9" s="3"/>
      <x:c r="L9" s="3"/>
    </x:row>
    <x:row r="10" ht="32" customHeight="1">
      <x:c r="A10" s="3" t="str">
        <x:v>U5 · Synthèse préparée</x:v>
      </x:c>
      <x:c r="B10" s="23" t="n">
        <x:f>IF(AND(ISNUMBER(B24),B24&gt;0),B24,NA())</x:f>
        <x:v>12</x:v>
      </x:c>
      <x:c r="C10" s="23" t="n">
        <x:f>IF(AND(COUNT(D24:E24)=2,D24&gt;=0,E24&gt;=0,I24&gt;0,J24&gt;0),(D24*I24+E24*J24)/1000000*'Hypothèses'!$E$9*'Hypothèses'!$E$11*'Hypothèses'!$E$12*'Hypothèses'!$E$19,NA())</x:f>
        <x:v>0.121</x:v>
      </x:c>
      <x:c r="D10" s="23" t="n">
        <x:f>IF(AND(ISNUMBER(F24),F24&gt;=0),F24*'Hypothèses'!$E$13/3600*'Hypothèses'!$E$10,NA())</x:f>
        <x:v>1.875</x:v>
      </x:c>
      <x:c r="E10" s="23" t="n">
        <x:f>IF(AND(ISNUMBER(G24),G24&gt;=0),G24*'Hypothèses'!$E$14,NA())</x:f>
        <x:v>0.15</x:v>
      </x:c>
      <x:c r="F10" s="23" t="n">
        <x:f>B10*'Hypothèses'!$E$20</x:f>
        <x:v>0.24</x:v>
      </x:c>
      <x:c r="G10" s="23" t="n">
        <x:f>SUM(C10:F10)</x:f>
        <x:v>2.386</x:v>
      </x:c>
      <x:c r="H10" s="15" t="n">
        <x:f>(B10-G10)/B10</x:f>
        <x:v>0.8011666666666667</x:v>
      </x:c>
      <x:c r="I10" s="24" t="n">
        <x:f>(B10*(1-'Hypothèses'!$B$30)-C10-E10-F10)/'Hypothèses'!$E$10*3600</x:f>
        <x:v>148.27200000000002</x:v>
      </x:c>
      <x:c r="J10" s="3"/>
      <x:c r="K10" s="3"/>
      <x:c r="L10" s="3"/>
    </x:row>
    <x:row r="11" ht="32" customHeight="1">
      <x:c r="A11" s="3" t="str">
        <x:v>U6 · Dossier préparé pour revue</x:v>
      </x:c>
      <x:c r="B11" s="23" t="n">
        <x:f>IF(AND(ISNUMBER(B25),B25&gt;0),B25,NA())</x:f>
        <x:v>25</x:v>
      </x:c>
      <x:c r="C11" s="23" t="n">
        <x:f>IF(AND(COUNT(D25:E25)=2,D25&gt;=0,E25&gt;=0,I25&gt;0,J25&gt;0),(D25*I25+E25*J25)/1000000*'Hypothèses'!$E$9*'Hypothèses'!$E$11*'Hypothèses'!$E$12*'Hypothèses'!$E$19,NA())</x:f>
        <x:v>0.55</x:v>
      </x:c>
      <x:c r="D11" s="23" t="n">
        <x:f>IF(AND(ISNUMBER(F25),F25&gt;=0),F25*'Hypothèses'!$E$13/3600*'Hypothèses'!$E$10,NA())</x:f>
        <x:v>3.75</x:v>
      </x:c>
      <x:c r="E11" s="23" t="n">
        <x:f>IF(AND(ISNUMBER(G25),G25&gt;=0),G25*'Hypothèses'!$E$14,NA())</x:f>
        <x:v>0.3</x:v>
      </x:c>
      <x:c r="F11" s="23" t="n">
        <x:f>B11*'Hypothèses'!$E$20</x:f>
        <x:v>0.5</x:v>
      </x:c>
      <x:c r="G11" s="23" t="n">
        <x:f>SUM(C11:F11)</x:f>
        <x:v>5.1</x:v>
      </x:c>
      <x:c r="H11" s="15" t="n">
        <x:f>(B11-G11)/B11</x:f>
        <x:v>0.7959999999999999</x:v>
      </x:c>
      <x:c r="I11" s="24" t="n">
        <x:f>(B11*(1-'Hypothèses'!$B$30)-C11-E11-F11)/'Hypothèses'!$E$10*3600</x:f>
        <x:v>295.20000000000005</x:v>
      </x:c>
      <x:c r="J11" s="3"/>
      <x:c r="K11" s="3"/>
      <x:c r="L11" s="3"/>
    </x:row>
    <x:row r="12" ht="32" customHeight="1">
      <x:c r="A12" s="3" t="str">
        <x:v>U7 · Reporting préparé</x:v>
      </x:c>
      <x:c r="B12" s="23" t="n">
        <x:f>IF(AND(ISNUMBER(B26),B26&gt;0),B26,NA())</x:f>
        <x:v>39</x:v>
      </x:c>
      <x:c r="C12" s="23" t="n">
        <x:f>IF(AND(COUNT(D26:E26)=2,D26&gt;=0,E26&gt;=0,I26&gt;0,J26&gt;0),(D26*I26+E26*J26)/1000000*'Hypothèses'!$E$9*'Hypothèses'!$E$11*'Hypothèses'!$E$12*'Hypothèses'!$E$19,NA())</x:f>
        <x:v>0.33</x:v>
      </x:c>
      <x:c r="D12" s="23" t="n">
        <x:f>IF(AND(ISNUMBER(F26),F26&gt;=0),F26*'Hypothèses'!$E$13/3600*'Hypothèses'!$E$10,NA())</x:f>
        <x:v>6.25</x:v>
      </x:c>
      <x:c r="E12" s="23" t="n">
        <x:f>IF(AND(ISNUMBER(G26),G26&gt;=0),G26*'Hypothèses'!$E$14,NA())</x:f>
        <x:v>1</x:v>
      </x:c>
      <x:c r="F12" s="23" t="n">
        <x:f>B12*'Hypothèses'!$E$20</x:f>
        <x:v>0.78</x:v>
      </x:c>
      <x:c r="G12" s="23" t="n">
        <x:f>SUM(C12:F12)</x:f>
        <x:v>8.36</x:v>
      </x:c>
      <x:c r="H12" s="15" t="n">
        <x:f>(B12-G12)/B12</x:f>
        <x:v>0.7856410256410257</x:v>
      </x:c>
      <x:c r="I12" s="24" t="n">
        <x:f>(B12*(1-'Hypothèses'!$B$30)-C12-E12-F12)/'Hypothèses'!$E$10*3600</x:f>
        <x:v>460.32000000000005</x:v>
      </x:c>
      <x:c r="J12" s="3"/>
      <x:c r="K12" s="3"/>
      <x:c r="L12" s="3"/>
    </x:row>
    <x:row r="13" ht="32" customHeight="1">
      <x:c r="A13" s="3" t="str">
        <x:v>U8 · Scénario financier préparé</x:v>
      </x:c>
      <x:c r="B13" s="23" t="n">
        <x:f>IF(AND(ISNUMBER(B27),B27&gt;0),B27,NA())</x:f>
        <x:v>79</x:v>
      </x:c>
      <x:c r="C13" s="23" t="n">
        <x:f>IF(AND(COUNT(D27:E27)=2,D27&gt;=0,E27&gt;=0,I27&gt;0,J27&gt;0),(D27*I27+E27*J27)/1000000*'Hypothèses'!$E$9*'Hypothèses'!$E$11*'Hypothèses'!$E$12*'Hypothèses'!$E$19,NA())</x:f>
        <x:v>0.8800000000000001</x:v>
      </x:c>
      <x:c r="D13" s="23" t="n">
        <x:f>IF(AND(ISNUMBER(F27),F27&gt;=0),F27*'Hypothèses'!$E$13/3600*'Hypothèses'!$E$10,NA())</x:f>
        <x:v>12.5</x:v>
      </x:c>
      <x:c r="E13" s="23" t="n">
        <x:f>IF(AND(ISNUMBER(G27),G27&gt;=0),G27*'Hypothèses'!$E$14,NA())</x:f>
        <x:v>2</x:v>
      </x:c>
      <x:c r="F13" s="23" t="n">
        <x:f>B13*'Hypothèses'!$E$20</x:f>
        <x:v>1.58</x:v>
      </x:c>
      <x:c r="G13" s="23" t="n">
        <x:f>SUM(C13:F13)</x:f>
        <x:v>16.96</x:v>
      </x:c>
      <x:c r="H13" s="15" t="n">
        <x:f>(B13-G13)/B13</x:f>
        <x:v>0.7853164556962026</x:v>
      </x:c>
      <x:c r="I13" s="24" t="n">
        <x:f>(B13*(1-'Hypothèses'!$B$30)-C13-E13-F13)/'Hypothèses'!$E$10*3600</x:f>
        <x:v>923.52</x:v>
      </x:c>
      <x:c r="J13" s="3"/>
      <x:c r="K13" s="3"/>
      <x:c r="L13" s="3"/>
    </x:row>
    <x:row r="14" ht="24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</x:row>
    <x:row r="15" ht="24" customHeight="1">
      <x:c r="A15" s="22" t="str">
        <x:v>*Temps humain moyen compatible avec la marge cible, pas une durée facturée.</x:v>
      </x:c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</x:row>
    <x:row r="16" ht="24" customHeight="1">
      <x:c r="A16" s="22" t="str">
        <x:v>Les prix restent fixes ; les tentatives internes ne constituent pas de nouvelles unités.</x:v>
      </x:c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</x:row>
    <x:row r="17" ht="24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4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34" customHeight="1">
      <x:c r="A19" s="12" t="str">
        <x:v>Unité</x:v>
      </x:c>
      <x:c r="B19" s="12" t="str">
        <x:v>Prix HT</x:v>
      </x:c>
      <x:c r="C19" s="12" t="str">
        <x:v>Modèle fixé</x:v>
      </x:c>
      <x:c r="D19" s="12" t="str">
        <x:v>Tokens entrée</x:v>
      </x:c>
      <x:c r="E19" s="12" t="str">
        <x:v>Tokens sortie</x:v>
      </x:c>
      <x:c r="F19" s="12" t="str">
        <x:v>Humain s</x:v>
      </x:c>
      <x:c r="G19" s="12" t="str">
        <x:v>Autres €</x:v>
      </x:c>
      <x:c r="H19" s="12" t="str">
        <x:v>Périmètre</x:v>
      </x:c>
      <x:c r="I19" s="12" t="str">
        <x:v>$/M entrée</x:v>
      </x:c>
      <x:c r="J19" s="12" t="str">
        <x:v>$/M sortie</x:v>
      </x:c>
      <x:c r="K19" s="12" t="str">
        <x:v>Provision ×</x:v>
      </x:c>
      <x:c r="L19" s="12" t="str">
        <x:v>Provision API $</x:v>
      </x:c>
    </x:row>
    <x:row r="20" ht="88" customHeight="1">
      <x:c r="A20" s="3" t="str">
        <x:v>U1</x:v>
      </x:c>
      <x:c r="B20" s="25" t="n">
        <x:v>1</x:v>
      </x:c>
      <x:c r="C20" s="6" t="str">
        <x:v>gpt-6.1-sol</x:v>
      </x:c>
      <x:c r="D20" s="26" t="n">
        <x:v>6000</x:v>
      </x:c>
      <x:c r="E20" s="26" t="n">
        <x:v>1000</x:v>
      </x:c>
      <x:c r="F20" s="26" t="n">
        <x:v>5</x:v>
      </x:c>
      <x:c r="G20" s="27" t="n">
        <x:v>0.03</x:v>
      </x:c>
      <x:c r="H20" s="30" t="str">
        <x:v>Un document, jusqu’à 5 pages et 30 champs ; une proposition structurée liée à la pièce.</x:v>
      </x:c>
      <x:c r="I20" s="28" t="n">
        <x:f>IF('Hypothèses'!$E$15=1,'Hypothèses'!$B$37,INDEX('Hypothèses'!$B$35:$B$38,MATCH(C20,'Hypothèses'!$A$35:$A$38,0)))</x:f>
        <x:v>2</x:v>
      </x:c>
      <x:c r="J20" s="28" t="n">
        <x:f>IF('Hypothèses'!$E$15=1,'Hypothèses'!$C$37,INDEX('Hypothèses'!$C$35:$C$38,MATCH(C20,'Hypothèses'!$A$35:$A$38,0)))</x:f>
        <x:v>10</x:v>
      </x:c>
      <x:c r="K20" s="29" t="n">
        <x:v>4</x:v>
      </x:c>
      <x:c r="L20" s="28" t="n">
        <x:f>(D20*I20+E20*J20)/1000000*K20</x:f>
        <x:v>0.088</x:v>
      </x:c>
    </x:row>
    <x:row r="21" ht="88" customHeight="1">
      <x:c r="A21" s="3" t="str">
        <x:v>U2</x:v>
      </x:c>
      <x:c r="B21" s="25" t="n">
        <x:v>2</x:v>
      </x:c>
      <x:c r="C21" s="6" t="str">
        <x:v>gpt-6.1-sol</x:v>
      </x:c>
      <x:c r="D21" s="26" t="n">
        <x:v>8000</x:v>
      </x:c>
      <x:c r="E21" s="26" t="n">
        <x:v>1500</x:v>
      </x:c>
      <x:c r="F21" s="26" t="n">
        <x:v>10</x:v>
      </x:c>
      <x:c r="G21" s="27" t="n">
        <x:v>0.03</x:v>
      </x:c>
      <x:c r="H21" s="30" t="str">
        <x:v>Un message jusqu’à 600 mots, un destinataire ou contexte, jusqu’à 5 pages d’entrée ; envoi exclu.</x:v>
      </x:c>
      <x:c r="I21" s="28" t="n">
        <x:f>IF('Hypothèses'!$E$15=1,'Hypothèses'!$B$37,INDEX('Hypothèses'!$B$35:$B$38,MATCH(C21,'Hypothèses'!$A$35:$A$38,0)))</x:f>
        <x:v>2</x:v>
      </x:c>
      <x:c r="J21" s="28" t="n">
        <x:f>IF('Hypothèses'!$E$15=1,'Hypothèses'!$C$37,INDEX('Hypothèses'!$C$35:$C$38,MATCH(C21,'Hypothèses'!$A$35:$A$38,0)))</x:f>
        <x:v>10</x:v>
      </x:c>
      <x:c r="K21" s="29" t="n">
        <x:v>4</x:v>
      </x:c>
      <x:c r="L21" s="28" t="n">
        <x:f>(D21*I21+E21*J21)/1000000*K21</x:f>
        <x:v>0.124</x:v>
      </x:c>
    </x:row>
    <x:row r="22" ht="88" customHeight="1">
      <x:c r="A22" s="3" t="str">
        <x:v>U3</x:v>
      </x:c>
      <x:c r="B22" s="25" t="n">
        <x:v>5</x:v>
      </x:c>
      <x:c r="C22" s="6" t="str">
        <x:v>gpt-6.1-sol</x:v>
      </x:c>
      <x:c r="D22" s="26" t="n">
        <x:v>20000</x:v>
      </x:c>
      <x:c r="E22" s="26" t="n">
        <x:v>2500</x:v>
      </x:c>
      <x:c r="F22" s="26" t="n">
        <x:v>30</x:v>
      </x:c>
      <x:c r="G22" s="27" t="n">
        <x:v>0.08</x:v>
      </x:c>
      <x:c r="H22" s="30" t="str">
        <x:v>Jusqu’à 250 lignes et 10 règles écrites, un fichier ou jeu convenu.</x:v>
      </x:c>
      <x:c r="I22" s="28" t="n">
        <x:f>IF('Hypothèses'!$E$15=1,'Hypothèses'!$B$37,INDEX('Hypothèses'!$B$35:$B$38,MATCH(C22,'Hypothèses'!$A$35:$A$38,0)))</x:f>
        <x:v>2</x:v>
      </x:c>
      <x:c r="J22" s="28" t="n">
        <x:f>IF('Hypothèses'!$E$15=1,'Hypothèses'!$C$37,INDEX('Hypothèses'!$C$35:$C$38,MATCH(C22,'Hypothèses'!$A$35:$A$38,0)))</x:f>
        <x:v>10</x:v>
      </x:c>
      <x:c r="K22" s="29" t="n">
        <x:v>4</x:v>
      </x:c>
      <x:c r="L22" s="28" t="n">
        <x:f>(D22*I22+E22*J22)/1000000*K22</x:f>
        <x:v>0.26</x:v>
      </x:c>
    </x:row>
    <x:row r="23" ht="88" customHeight="1">
      <x:c r="A23" s="3" t="str">
        <x:v>U4</x:v>
      </x:c>
      <x:c r="B23" s="25" t="n">
        <x:v>10</x:v>
      </x:c>
      <x:c r="C23" s="6" t="str">
        <x:v>gpt-6.1-sol</x:v>
      </x:c>
      <x:c r="D23" s="26" t="n">
        <x:v>40000</x:v>
      </x:c>
      <x:c r="E23" s="26" t="n">
        <x:v>5000</x:v>
      </x:c>
      <x:c r="F23" s="26" t="n">
        <x:v>60</x:v>
      </x:c>
      <x:c r="G23" s="27" t="n">
        <x:v>0.15</x:v>
      </x:c>
      <x:c r="H23" s="30" t="str">
        <x:v>Jusqu’à 500 mouvements et 500 écritures ou éléments à rapprocher, même dossier et période.</x:v>
      </x:c>
      <x:c r="I23" s="28" t="n">
        <x:f>IF('Hypothèses'!$E$15=1,'Hypothèses'!$B$37,INDEX('Hypothèses'!$B$35:$B$38,MATCH(C23,'Hypothèses'!$A$35:$A$38,0)))</x:f>
        <x:v>2</x:v>
      </x:c>
      <x:c r="J23" s="28" t="n">
        <x:f>IF('Hypothèses'!$E$15=1,'Hypothèses'!$C$37,INDEX('Hypothèses'!$C$35:$C$38,MATCH(C23,'Hypothèses'!$A$35:$A$38,0)))</x:f>
        <x:v>10</x:v>
      </x:c>
      <x:c r="K23" s="29" t="n">
        <x:v>4</x:v>
      </x:c>
      <x:c r="L23" s="28" t="n">
        <x:f>(D23*I23+E23*J23)/1000000*K23</x:f>
        <x:v>0.52</x:v>
      </x:c>
    </x:row>
    <x:row r="24" ht="88" customHeight="1">
      <x:c r="A24" s="3" t="str">
        <x:v>U5</x:v>
      </x:c>
      <x:c r="B24" s="25" t="n">
        <x:v>12</x:v>
      </x:c>
      <x:c r="C24" s="6" t="str">
        <x:v>gpt-6.1-sol</x:v>
      </x:c>
      <x:c r="D24" s="26" t="n">
        <x:v>24000</x:v>
      </x:c>
      <x:c r="E24" s="26" t="n">
        <x:v>4000</x:v>
      </x:c>
      <x:c r="F24" s="26" t="n">
        <x:v>90</x:v>
      </x:c>
      <x:c r="G24" s="27" t="n">
        <x:v>0.15</x:v>
      </x:c>
      <x:c r="H24" s="30" t="str">
        <x:v>Un dossier, jusqu’à 20 pages ou 2 000 lignes structurées ; sortie jusqu’à 2 pages.</x:v>
      </x:c>
      <x:c r="I24" s="28" t="n">
        <x:f>IF('Hypothèses'!$E$15=1,'Hypothèses'!$B$37,INDEX('Hypothèses'!$B$35:$B$38,MATCH(C24,'Hypothèses'!$A$35:$A$38,0)))</x:f>
        <x:v>2</x:v>
      </x:c>
      <x:c r="J24" s="28" t="n">
        <x:f>IF('Hypothèses'!$E$15=1,'Hypothèses'!$C$37,INDEX('Hypothèses'!$C$35:$C$38,MATCH(C24,'Hypothèses'!$A$35:$A$38,0)))</x:f>
        <x:v>10</x:v>
      </x:c>
      <x:c r="K24" s="29" t="n">
        <x:v>4</x:v>
      </x:c>
      <x:c r="L24" s="28" t="n">
        <x:f>(D24*I24+E24*J24)/1000000*K24</x:f>
        <x:v>0.352</x:v>
      </x:c>
    </x:row>
    <x:row r="25" ht="88" customHeight="1">
      <x:c r="A25" s="3" t="str">
        <x:v>U6</x:v>
      </x:c>
      <x:c r="B25" s="25" t="n">
        <x:v>25</x:v>
      </x:c>
      <x:c r="C25" s="6" t="str">
        <x:v>claude-opus-5-5</x:v>
      </x:c>
      <x:c r="D25" s="26" t="n">
        <x:v>60000</x:v>
      </x:c>
      <x:c r="E25" s="26" t="n">
        <x:v>8000</x:v>
      </x:c>
      <x:c r="F25" s="26" t="n">
        <x:v>180</x:v>
      </x:c>
      <x:c r="G25" s="27" t="n">
        <x:v>0.3</x:v>
      </x:c>
      <x:c r="H25" s="30" t="str">
        <x:v>Un dossier, jusqu’à 10 documents et 50 pages au total ; note jusqu’à 3 pages.</x:v>
      </x:c>
      <x:c r="I25" s="28" t="n">
        <x:f>IF('Hypothèses'!$E$15=1,'Hypothèses'!$B$37,INDEX('Hypothèses'!$B$35:$B$38,MATCH(C25,'Hypothèses'!$A$35:$A$38,0)))</x:f>
        <x:v>4</x:v>
      </x:c>
      <x:c r="J25" s="28" t="n">
        <x:f>IF('Hypothèses'!$E$15=1,'Hypothèses'!$C$37,INDEX('Hypothèses'!$C$35:$C$38,MATCH(C25,'Hypothèses'!$A$35:$A$38,0)))</x:f>
        <x:v>20</x:v>
      </x:c>
      <x:c r="K25" s="29" t="n">
        <x:v>4</x:v>
      </x:c>
      <x:c r="L25" s="28" t="n">
        <x:f>(D25*I25+E25*J25)/1000000*K25</x:f>
        <x:v>1.6</x:v>
      </x:c>
    </x:row>
    <x:row r="26" ht="88" customHeight="1">
      <x:c r="A26" s="3" t="str">
        <x:v>U7</x:v>
      </x:c>
      <x:c r="B26" s="25" t="n">
        <x:v>39</x:v>
      </x:c>
      <x:c r="C26" s="6" t="str">
        <x:v>gpt-6.1-sol</x:v>
      </x:c>
      <x:c r="D26" s="26" t="n">
        <x:v>80000</x:v>
      </x:c>
      <x:c r="E26" s="26" t="n">
        <x:v>8000</x:v>
      </x:c>
      <x:c r="F26" s="26" t="n">
        <x:v>300</x:v>
      </x:c>
      <x:c r="G26" s="27" t="n">
        <x:v>1</x:v>
      </x:c>
      <x:c r="H26" s="30" t="str">
        <x:v>Une entité, une période, export jusqu’à 5 000 lignes, 5 indicateurs et 2 pages de commentaires.</x:v>
      </x:c>
      <x:c r="I26" s="28" t="n">
        <x:f>IF('Hypothèses'!$E$15=1,'Hypothèses'!$B$37,INDEX('Hypothèses'!$B$35:$B$38,MATCH(C26,'Hypothèses'!$A$35:$A$38,0)))</x:f>
        <x:v>2</x:v>
      </x:c>
      <x:c r="J26" s="28" t="n">
        <x:f>IF('Hypothèses'!$E$15=1,'Hypothèses'!$C$37,INDEX('Hypothèses'!$C$35:$C$38,MATCH(C26,'Hypothèses'!$A$35:$A$38,0)))</x:f>
        <x:v>10</x:v>
      </x:c>
      <x:c r="K26" s="29" t="n">
        <x:v>4</x:v>
      </x:c>
      <x:c r="L26" s="28" t="n">
        <x:f>(D26*I26+E26*J26)/1000000*K26</x:f>
        <x:v>0.96</x:v>
      </x:c>
    </x:row>
    <x:row r="27" ht="88" customHeight="1">
      <x:c r="A27" s="3" t="str">
        <x:v>U8</x:v>
      </x:c>
      <x:c r="B27" s="25" t="n">
        <x:v>79</x:v>
      </x:c>
      <x:c r="C27" s="6" t="str">
        <x:v>claude-opus-5-5</x:v>
      </x:c>
      <x:c r="D27" s="26" t="n">
        <x:v>100000</x:v>
      </x:c>
      <x:c r="E27" s="26" t="n">
        <x:v>12000</x:v>
      </x:c>
      <x:c r="F27" s="26" t="n">
        <x:v>600</x:v>
      </x:c>
      <x:c r="G27" s="27" t="n">
        <x:v>2</x:v>
      </x:c>
      <x:c r="H27" s="30" t="str">
        <x:v>Une entité, horizon de 12 mois, 3 hypothèses et jusqu’à 500 flux ; note jusqu’à 3 pages.</x:v>
      </x:c>
      <x:c r="I27" s="28" t="n">
        <x:f>IF('Hypothèses'!$E$15=1,'Hypothèses'!$B$37,INDEX('Hypothèses'!$B$35:$B$38,MATCH(C27,'Hypothèses'!$A$35:$A$38,0)))</x:f>
        <x:v>4</x:v>
      </x:c>
      <x:c r="J27" s="28" t="n">
        <x:f>IF('Hypothèses'!$E$15=1,'Hypothèses'!$C$37,INDEX('Hypothèses'!$C$35:$C$38,MATCH(C27,'Hypothèses'!$A$35:$A$38,0)))</x:f>
        <x:v>20</x:v>
      </x:c>
      <x:c r="K27" s="29" t="n">
        <x:v>4</x:v>
      </x:c>
      <x:c r="L27" s="28" t="n">
        <x:f>(D27*I27+E27*J27)/1000000*K27</x:f>
        <x:v>2.56</x:v>
      </x:c>
    </x:row>
    <x:row r="28" ht="24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4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4" customHeight="1">
      <x:c r="A30" s="19" t="str">
        <x:v>Mise en service : effort prévisionnel et coût direct</x:v>
      </x:c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24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24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34" customHeight="1">
      <x:c r="A33" s="12" t="str">
        <x:v>Périmètre</x:v>
      </x:c>
      <x:c r="B33" s="12" t="str">
        <x:v>Prix HT</x:v>
      </x:c>
      <x:c r="C33" s="12" t="str">
        <x:v>Effort h</x:v>
      </x:c>
      <x:c r="D33" s="12" t="str">
        <x:v>Réserve €</x:v>
      </x:c>
      <x:c r="E33" s="12" t="str">
        <x:v>Humain €</x:v>
      </x:c>
      <x:c r="F33" s="12" t="str">
        <x:v>Autres €</x:v>
      </x:c>
      <x:c r="G33" s="12" t="str">
        <x:v>Encais. €</x:v>
      </x:c>
      <x:c r="H33" s="12" t="str">
        <x:v>Coût direct €</x:v>
      </x:c>
      <x:c r="I33" s="12" t="str">
        <x:v>Marge</x:v>
      </x:c>
      <x:c r="J33" s="3"/>
      <x:c r="K33" s="3"/>
      <x:c r="L33" s="3"/>
    </x:row>
    <x:row r="34" ht="32" customHeight="1">
      <x:c r="A34" s="3" t="str">
        <x:v>Mise en service standard</x:v>
      </x:c>
      <x:c r="B34" s="25" t="n">
        <x:v>790</x:v>
      </x:c>
      <x:c r="C34" s="6" t="n">
        <x:v>4</x:v>
      </x:c>
      <x:c r="D34" s="25" t="n">
        <x:v>10</x:v>
      </x:c>
      <x:c r="E34" s="23" t="n">
        <x:f>IF(AND(ISNUMBER(C34),C34&gt;=0),C34*'Hypothèses'!$E$18*'Hypothèses'!$E$10,NA())</x:f>
        <x:v>300</x:v>
      </x:c>
      <x:c r="F34" s="23" t="n">
        <x:f>IF(AND(ISNUMBER(D34),D34&gt;=0),D34*'Hypothèses'!$E$14,NA())</x:f>
        <x:v>10</x:v>
      </x:c>
      <x:c r="G34" s="23" t="n">
        <x:f>IF(AND(ISNUMBER(B34),B34&gt;0,ISNUMBER('Hypothèses'!$B$31),'Hypothèses'!$B$31&gt;0),B34*'Hypothèses'!$E$20+'Hypothèses'!$E$21*'Hypothèses'!$B$31,NA())</x:f>
        <x:v>16.3</x:v>
      </x:c>
      <x:c r="H34" s="23" t="n">
        <x:f>SUM(E34:G34)</x:f>
        <x:v>326.3</x:v>
      </x:c>
      <x:c r="I34" s="15" t="n">
        <x:f>(B34-H34)/B34</x:f>
        <x:v>0.5869620253164557</x:v>
      </x:c>
      <x:c r="J34" s="3"/>
      <x:c r="K34" s="3"/>
      <x:c r="L34" s="3"/>
    </x:row>
    <x:row r="35" ht="32" customHeight="1">
      <x:c r="A35" s="3" t="str">
        <x:v>Adaptation de plusieurs tâches</x:v>
      </x:c>
      <x:c r="B35" s="25" t="n">
        <x:v>1990</x:v>
      </x:c>
      <x:c r="C35" s="6" t="n">
        <x:v>10</x:v>
      </x:c>
      <x:c r="D35" s="25" t="n">
        <x:v>25</x:v>
      </x:c>
      <x:c r="E35" s="23" t="n">
        <x:f>IF(AND(ISNUMBER(C35),C35&gt;=0),C35*'Hypothèses'!$E$18*'Hypothèses'!$E$10,NA())</x:f>
        <x:v>750</x:v>
      </x:c>
      <x:c r="F35" s="23" t="n">
        <x:f>IF(AND(ISNUMBER(D35),D35&gt;=0),D35*'Hypothèses'!$E$14,NA())</x:f>
        <x:v>25</x:v>
      </x:c>
      <x:c r="G35" s="23" t="n">
        <x:f>IF(AND(ISNUMBER(B35),B35&gt;0,ISNUMBER('Hypothèses'!$B$31),'Hypothèses'!$B$31&gt;0),B35*'Hypothèses'!$E$20+'Hypothèses'!$E$21*'Hypothèses'!$B$31,NA())</x:f>
        <x:v>40.300000000000004</x:v>
      </x:c>
      <x:c r="H35" s="23" t="n">
        <x:f>SUM(E35:G35)</x:f>
        <x:v>815.3</x:v>
      </x:c>
      <x:c r="I35" s="15" t="n">
        <x:f>(B35-H35)/B35</x:f>
        <x:v>0.5903015075376885</x:v>
      </x:c>
      <x:c r="J35" s="3"/>
      <x:c r="K35" s="3"/>
      <x:c r="L35" s="3"/>
    </x:row>
    <x:row r="36" ht="32" customHeight="1">
      <x:c r="A36" s="3" t="str">
        <x:v>Construction sur mesure</x:v>
      </x:c>
      <x:c r="B36" s="25" t="n">
        <x:v>4900</x:v>
      </x:c>
      <x:c r="C36" s="6" t="n">
        <x:v>24</x:v>
      </x:c>
      <x:c r="D36" s="25" t="n">
        <x:v>60</x:v>
      </x:c>
      <x:c r="E36" s="23" t="n">
        <x:f>IF(AND(ISNUMBER(C36),C36&gt;=0),C36*'Hypothèses'!$E$18*'Hypothèses'!$E$10,NA())</x:f>
        <x:v>1800</x:v>
      </x:c>
      <x:c r="F36" s="23" t="n">
        <x:f>IF(AND(ISNUMBER(D36),D36&gt;=0),D36*'Hypothèses'!$E$14,NA())</x:f>
        <x:v>60</x:v>
      </x:c>
      <x:c r="G36" s="23" t="n">
        <x:f>IF(AND(ISNUMBER(B36),B36&gt;0,ISNUMBER('Hypothèses'!$B$31),'Hypothèses'!$B$31&gt;0),B36*'Hypothèses'!$E$20+'Hypothèses'!$E$21*'Hypothèses'!$B$31,NA())</x:f>
        <x:v>98.5</x:v>
      </x:c>
      <x:c r="H36" s="23" t="n">
        <x:f>SUM(E36:G36)</x:f>
        <x:v>1958.5</x:v>
      </x:c>
      <x:c r="I36" s="15" t="n">
        <x:f>(B36-H36)/B36</x:f>
        <x:v>0.6003061224489796</x:v>
      </x:c>
      <x:c r="J36" s="3"/>
      <x:c r="K36" s="3"/>
      <x:c r="L36" s="3"/>
    </x:row>
    <x:row r="37" ht="24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4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24" customHeight="1">
      <x:c r="A39" s="3" t="str">
        <x:v>Standard : une tâche et un connecteur existants.</x:v>
      </x:c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24" customHeight="1">
      <x:c r="A40" s="3" t="str">
        <x:v>Adaptation : trois tâches, deux connecteurs standards.</x:v>
      </x:c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24" customHeight="1">
      <x:c r="A41" s="3" t="str">
        <x:v>Création : à partir de 4 900 €, périmètre fixé au devis.</x:v>
      </x:c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24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 ht="24" customHeight="1">
      <x:c r="A43" s="3" t="str">
        <x:v>Provisions tokens et temps = hypothèses. Aucun appel Mammouth effectué.</x:v>
      </x:c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 ht="24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24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4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24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 ht="24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 ht="24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 ht="24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</x:sheetData>
  <x:conditionalFormatting sqref="I6:I13">
    <x:cfRule type="cellIs" dxfId="0" priority="1" operator="lessThan">
      <x:formula>0</x:formula>
    </x:cfRule>
  </x:conditionalFormatting>
  <x:conditionalFormatting sqref="H6:H13">
    <x:cfRule type="cellIs" dxfId="1" priority="2" operator="lessThan">
      <x:formula>0.7</x:formula>
    </x:cfRule>
  </x:conditionalFormatting>
  <x:dataValidations count="1">
    <x:dataValidation type="list" sqref="C20:C27">
      <x:formula1>"gpt-6.1-sol,claude-opus-5-5,gpt-6-astra,glm-5.3-flash"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BD8AA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25" hidden="0" customWidth="1"/>
    <x:col min="6" max="6" width="19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4" t="str">
        <x:v>Hypothèses et tarifs Mammouth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3" t="str">
        <x:v>Tarifs publics au 15/10/2026 ; consommation et temps humains non mesurés.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4" customHeight="1">
      <x:c r="A5" s="3" t="str">
        <x:v>Scénario (1 à 3)</x:v>
      </x:c>
      <x:c r="B5" s="3"/>
      <x:c r="C5" s="7" t="n">
        <x:v>1</x:v>
      </x:c>
      <x:c r="D5" s="3"/>
      <x:c r="E5" s="8" t="str">
        <x:f>CHOOSE($C$5,"Base calculée","Reprises élevées","Modèle premium")</x:f>
        <x:v>Base calculée</x:v>
      </x:c>
      <x:c r="F5" s="3"/>
      <x:c r="G5" s="3"/>
      <x:c r="H5" s="3"/>
      <x:c r="I5" s="3"/>
      <x:c r="J5" s="3"/>
      <x:c r="K5" s="3"/>
      <x:c r="L5" s="3"/>
    </x:row>
    <x:row r="6" ht="24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34" customHeight="1">
      <x:c r="A7" s="12" t="str">
        <x:v>Coût / facteur</x:v>
      </x:c>
      <x:c r="B7" s="12" t="str">
        <x:v>Base</x:v>
      </x:c>
      <x:c r="C7" s="12" t="str">
        <x:v>Reprises</x:v>
      </x:c>
      <x:c r="D7" s="12" t="str">
        <x:v>Premium</x:v>
      </x:c>
      <x:c r="E7" s="12" t="str">
        <x:v>Actif</x:v>
      </x:c>
      <x:c r="F7" s="12" t="str">
        <x:v>Unité</x:v>
      </x:c>
      <x:c r="G7" s="3"/>
      <x:c r="H7" s="3"/>
      <x:c r="I7" s="3"/>
      <x:c r="J7" s="3"/>
      <x:c r="K7" s="3"/>
      <x:c r="L7" s="3"/>
    </x:row>
    <x:row r="8" ht="24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</x:row>
    <x:row r="9" ht="24" customHeight="1">
      <x:c r="A9" s="3" t="str">
        <x:v>Conversion budgétaire USD / EUR</x:v>
      </x:c>
      <x:c r="B9" s="13" t="n">
        <x:v>1.1</x:v>
      </x:c>
      <x:c r="C9" s="13" t="n">
        <x:v>1.2</x:v>
      </x:c>
      <x:c r="D9" s="13" t="n">
        <x:v>1.2</x:v>
      </x:c>
      <x:c r="E9" s="17" t="n">
        <x:f>CHOOSE($C$5,IF(AND(ISNUMBER(B9),B9&gt;0),B9,NA()),IF(AND(ISNUMBER(C9),C9&gt;0),C9,NA()),IF(AND(ISNUMBER(D9),D9&gt;0),D9,NA()))</x:f>
        <x:v>1.1</x:v>
      </x:c>
      <x:c r="F9" s="3" t="str">
        <x:v>EUR / USD</x:v>
      </x:c>
      <x:c r="G9" s="3"/>
      <x:c r="H9" s="3"/>
      <x:c r="I9" s="3"/>
      <x:c r="J9" s="3"/>
      <x:c r="K9" s="3"/>
      <x:c r="L9" s="3"/>
    </x:row>
    <x:row r="10" ht="24" customHeight="1">
      <x:c r="A10" s="3" t="str">
        <x:v>Coût humain chargé</x:v>
      </x:c>
      <x:c r="B10" s="13" t="n">
        <x:v>75</x:v>
      </x:c>
      <x:c r="C10" s="13" t="n">
        <x:v>100</x:v>
      </x:c>
      <x:c r="D10" s="13" t="n">
        <x:v>100</x:v>
      </x:c>
      <x:c r="E10" s="17" t="n">
        <x:f>CHOOSE($C$5,IF(AND(ISNUMBER(B10),B10&gt;0),B10,NA()),IF(AND(ISNUMBER(C10),C10&gt;0),C10,NA()),IF(AND(ISNUMBER(D10),D10&gt;0),D10,NA()))</x:f>
        <x:v>75</x:v>
      </x:c>
      <x:c r="F10" s="3" t="str">
        <x:v>EUR / heure</x:v>
      </x:c>
      <x:c r="G10" s="3"/>
      <x:c r="H10" s="3"/>
      <x:c r="I10" s="3"/>
      <x:c r="J10" s="3"/>
      <x:c r="K10" s="3"/>
      <x:c r="L10" s="3"/>
    </x:row>
    <x:row r="11" ht="24" customHeight="1">
      <x:c r="A11" s="3" t="str">
        <x:v>Volume de tokens</x:v>
      </x:c>
      <x:c r="B11" s="13" t="n">
        <x:v>1</x:v>
      </x:c>
      <x:c r="C11" s="13" t="n">
        <x:v>2</x:v>
      </x:c>
      <x:c r="D11" s="13" t="n">
        <x:v>2</x:v>
      </x:c>
      <x:c r="E11" s="17" t="n">
        <x:f>CHOOSE($C$5,IF(AND(ISNUMBER(B11),B11&gt;0),B11,NA()),IF(AND(ISNUMBER(C11),C11&gt;0),C11,NA()),IF(AND(ISNUMBER(D11),D11&gt;0),D11,NA()))</x:f>
        <x:v>1</x:v>
      </x:c>
      <x:c r="F11" s="3" t="str">
        <x:v>multiplicateur</x:v>
      </x:c>
      <x:c r="G11" s="3"/>
      <x:c r="H11" s="3"/>
      <x:c r="I11" s="3"/>
      <x:c r="J11" s="3"/>
      <x:c r="K11" s="3"/>
      <x:c r="L11" s="3"/>
    </x:row>
    <x:row r="12" ht="24" customHeight="1">
      <x:c r="A12" s="3" t="str">
        <x:v>Tentatives et reprises API</x:v>
      </x:c>
      <x:c r="B12" s="13" t="n">
        <x:v>1.25</x:v>
      </x:c>
      <x:c r="C12" s="13" t="n">
        <x:v>1.5</x:v>
      </x:c>
      <x:c r="D12" s="13" t="n">
        <x:v>1.5</x:v>
      </x:c>
      <x:c r="E12" s="17" t="n">
        <x:f>CHOOSE($C$5,IF(AND(ISNUMBER(B12),B12&gt;0),B12,NA()),IF(AND(ISNUMBER(C12),C12&gt;0),C12,NA()),IF(AND(ISNUMBER(D12),D12&gt;0),D12,NA()))</x:f>
        <x:v>1.25</x:v>
      </x:c>
      <x:c r="F12" s="3" t="str">
        <x:v>multiplicateur</x:v>
      </x:c>
      <x:c r="G12" s="3"/>
      <x:c r="H12" s="3"/>
      <x:c r="I12" s="3"/>
      <x:c r="J12" s="3"/>
      <x:c r="K12" s="3"/>
      <x:c r="L12" s="3"/>
    </x:row>
    <x:row r="13" ht="24" customHeight="1">
      <x:c r="A13" s="3" t="str">
        <x:v>Temps humain variable</x:v>
      </x:c>
      <x:c r="B13" s="13" t="n">
        <x:v>1</x:v>
      </x:c>
      <x:c r="C13" s="13" t="n">
        <x:v>2</x:v>
      </x:c>
      <x:c r="D13" s="13" t="n">
        <x:v>2</x:v>
      </x:c>
      <x:c r="E13" s="17" t="n">
        <x:f>CHOOSE($C$5,IF(AND(ISNUMBER(B13),B13&gt;0),B13,NA()),IF(AND(ISNUMBER(C13),C13&gt;0),C13,NA()),IF(AND(ISNUMBER(D13),D13&gt;0),D13,NA()))</x:f>
        <x:v>1</x:v>
      </x:c>
      <x:c r="F13" s="3" t="str">
        <x:v>multiplicateur</x:v>
      </x:c>
      <x:c r="G13" s="3"/>
      <x:c r="H13" s="3"/>
      <x:c r="I13" s="3"/>
      <x:c r="J13" s="3"/>
      <x:c r="K13" s="3"/>
      <x:c r="L13" s="3"/>
    </x:row>
    <x:row r="14" ht="24" customHeight="1">
      <x:c r="A14" s="3" t="str">
        <x:v>Réserve autres outils</x:v>
      </x:c>
      <x:c r="B14" s="13" t="n">
        <x:v>1</x:v>
      </x:c>
      <x:c r="C14" s="13" t="n">
        <x:v>2</x:v>
      </x:c>
      <x:c r="D14" s="13" t="n">
        <x:v>2</x:v>
      </x:c>
      <x:c r="E14" s="17" t="n">
        <x:f>CHOOSE($C$5,IF(AND(ISNUMBER(B14),B14&gt;0),B14,NA()),IF(AND(ISNUMBER(C14),C14&gt;0),C14,NA()),IF(AND(ISNUMBER(D14),D14&gt;0),D14,NA()))</x:f>
        <x:v>1</x:v>
      </x:c>
      <x:c r="F14" s="3" t="str">
        <x:v>multiplicateur</x:v>
      </x:c>
      <x:c r="G14" s="3"/>
      <x:c r="H14" s="3"/>
      <x:c r="I14" s="3"/>
      <x:c r="J14" s="3"/>
      <x:c r="K14" s="3"/>
      <x:c r="L14" s="3"/>
    </x:row>
    <x:row r="15" ht="24" customHeight="1">
      <x:c r="A15" s="3" t="str">
        <x:v>Routage premium (0 / 1)</x:v>
      </x:c>
      <x:c r="B15" s="13" t="n">
        <x:v>0</x:v>
      </x:c>
      <x:c r="C15" s="13" t="n">
        <x:v>0</x:v>
      </x:c>
      <x:c r="D15" s="13" t="n">
        <x:v>1</x:v>
      </x:c>
      <x:c r="E15" s="17" t="n">
        <x:f>CHOOSE($C$5,IF(AND(ISNUMBER(B15),B15&gt;=0),B15,NA()),IF(AND(ISNUMBER(C15),C15&gt;=0),C15,NA()),IF(AND(ISNUMBER(D15),D15&gt;=0),D15,NA()))</x:f>
        <x:v>0</x:v>
      </x:c>
      <x:c r="F15" s="3" t="str">
        <x:v>indicateur</x:v>
      </x:c>
      <x:c r="G15" s="3"/>
      <x:c r="H15" s="3"/>
      <x:c r="I15" s="3"/>
      <x:c r="J15" s="3"/>
      <x:c r="K15" s="3"/>
      <x:c r="L15" s="3"/>
    </x:row>
    <x:row r="16" ht="24" customHeight="1">
      <x:c r="A16" s="3" t="str">
        <x:v>Infrastructure allouée</x:v>
      </x:c>
      <x:c r="B16" s="13" t="n">
        <x:v>10</x:v>
      </x:c>
      <x:c r="C16" s="13" t="n">
        <x:v>20</x:v>
      </x:c>
      <x:c r="D16" s="13" t="n">
        <x:v>50</x:v>
      </x:c>
      <x:c r="E16" s="17" t="n">
        <x:f>CHOOSE($C$5,IF(AND(ISNUMBER(B16),B16&gt;=0),B16,NA()),IF(AND(ISNUMBER(C16),C16&gt;=0),C16,NA()),IF(AND(ISNUMBER(D16),D16&gt;=0),D16,NA()))</x:f>
        <x:v>10</x:v>
      </x:c>
      <x:c r="F16" s="3" t="str">
        <x:v>EUR / mois</x:v>
      </x:c>
      <x:c r="G16" s="3"/>
      <x:c r="H16" s="3"/>
      <x:c r="I16" s="3"/>
      <x:c r="J16" s="3"/>
      <x:c r="K16" s="3"/>
      <x:c r="L16" s="3"/>
    </x:row>
    <x:row r="17" ht="24" customHeight="1">
      <x:c r="A17" s="3" t="str">
        <x:v>Maintenance / support fixe</x:v>
      </x:c>
      <x:c r="B17" s="13" t="n">
        <x:v>15</x:v>
      </x:c>
      <x:c r="C17" s="13" t="n">
        <x:v>30</x:v>
      </x:c>
      <x:c r="D17" s="13" t="n">
        <x:v>30</x:v>
      </x:c>
      <x:c r="E17" s="17" t="n">
        <x:f>CHOOSE($C$5,IF(AND(ISNUMBER(B17),B17&gt;=0),B17,NA()),IF(AND(ISNUMBER(C17),C17&gt;=0),C17,NA()),IF(AND(ISNUMBER(D17),D17&gt;=0),D17,NA()))</x:f>
        <x:v>15</x:v>
      </x:c>
      <x:c r="F17" s="3" t="str">
        <x:v>minutes / mois</x:v>
      </x:c>
      <x:c r="G17" s="3"/>
      <x:c r="H17" s="3"/>
      <x:c r="I17" s="3"/>
      <x:c r="J17" s="3"/>
      <x:c r="K17" s="3"/>
      <x:c r="L17" s="3"/>
    </x:row>
    <x:row r="18" ht="24" customHeight="1">
      <x:c r="A18" s="3" t="str">
        <x:v>Effort de mise en service</x:v>
      </x:c>
      <x:c r="B18" s="13" t="n">
        <x:v>1</x:v>
      </x:c>
      <x:c r="C18" s="13" t="n">
        <x:v>1.25</x:v>
      </x:c>
      <x:c r="D18" s="13" t="n">
        <x:v>1.25</x:v>
      </x:c>
      <x:c r="E18" s="17" t="n">
        <x:f>CHOOSE($C$5,IF(AND(ISNUMBER(B18),B18&gt;0),B18,NA()),IF(AND(ISNUMBER(C18),C18&gt;0),C18,NA()),IF(AND(ISNUMBER(D18),D18&gt;0),D18,NA()))</x:f>
        <x:v>1</x:v>
      </x:c>
      <x:c r="F18" s="3" t="str">
        <x:v>multiplicateur</x:v>
      </x:c>
      <x:c r="G18" s="3"/>
      <x:c r="H18" s="3"/>
      <x:c r="I18" s="3"/>
      <x:c r="J18" s="3"/>
      <x:c r="K18" s="3"/>
      <x:c r="L18" s="3"/>
    </x:row>
    <x:row r="19" ht="24" customHeight="1">
      <x:c r="A19" s="3" t="str">
        <x:v>Taxes / frais fournisseur</x:v>
      </x:c>
      <x:c r="B19" s="13" t="n">
        <x:v>1</x:v>
      </x:c>
      <x:c r="C19" s="13" t="n">
        <x:v>1.2</x:v>
      </x:c>
      <x:c r="D19" s="13" t="n">
        <x:v>1.2</x:v>
      </x:c>
      <x:c r="E19" s="17" t="n">
        <x:f>CHOOSE($C$5,IF(AND(ISNUMBER(B19),B19&gt;0),B19,NA()),IF(AND(ISNUMBER(C19),C19&gt;0),C19,NA()),IF(AND(ISNUMBER(D19),D19&gt;0),D19,NA()))</x:f>
        <x:v>1</x:v>
      </x:c>
      <x:c r="F19" s="3" t="str">
        <x:v>coefficient</x:v>
      </x:c>
      <x:c r="G19" s="3"/>
      <x:c r="H19" s="3"/>
      <x:c r="I19" s="3"/>
      <x:c r="J19" s="3"/>
      <x:c r="K19" s="3"/>
      <x:c r="L19" s="3"/>
    </x:row>
    <x:row r="20" ht="24" customHeight="1">
      <x:c r="A20" s="3" t="str">
        <x:v>Réserve encaissement variable</x:v>
      </x:c>
      <x:c r="B20" s="14" t="n">
        <x:v>0.02</x:v>
      </x:c>
      <x:c r="C20" s="14" t="n">
        <x:v>0.03</x:v>
      </x:c>
      <x:c r="D20" s="14" t="n">
        <x:v>0.03</x:v>
      </x:c>
      <x:c r="E20" s="18" t="n">
        <x:f>CHOOSE($C$5,IF(AND(ISNUMBER(B20),B20&gt;=0),B20,NA()),IF(AND(ISNUMBER(C20),C20&gt;=0),C20,NA()),IF(AND(ISNUMBER(D20),D20&gt;=0),D20,NA()))</x:f>
        <x:v>0.02</x:v>
      </x:c>
      <x:c r="F20" s="3" t="str">
        <x:v>part du CA</x:v>
      </x:c>
      <x:c r="G20" s="3"/>
      <x:c r="H20" s="3"/>
      <x:c r="I20" s="3"/>
      <x:c r="J20" s="3"/>
      <x:c r="K20" s="3"/>
      <x:c r="L20" s="3"/>
    </x:row>
    <x:row r="21" ht="24" customHeight="1">
      <x:c r="A21" s="3" t="str">
        <x:v>Réserve encaissement fixe</x:v>
      </x:c>
      <x:c r="B21" s="13" t="n">
        <x:v>0.25</x:v>
      </x:c>
      <x:c r="C21" s="13" t="n">
        <x:v>0.3</x:v>
      </x:c>
      <x:c r="D21" s="13" t="n">
        <x:v>0.3</x:v>
      </x:c>
      <x:c r="E21" s="17" t="n">
        <x:f>CHOOSE($C$5,IF(AND(ISNUMBER(B21),B21&gt;=0),B21,NA()),IF(AND(ISNUMBER(C21),C21&gt;=0),C21,NA()),IF(AND(ISNUMBER(D21),D21&gt;=0),D21,NA()))</x:f>
        <x:v>0.25</x:v>
      </x:c>
      <x:c r="F21" s="3" t="str">
        <x:v>EUR / facture</x:v>
      </x:c>
      <x:c r="G21" s="3"/>
      <x:c r="H21" s="3"/>
      <x:c r="I21" s="3"/>
      <x:c r="J21" s="3"/>
      <x:c r="K21" s="3"/>
      <x:c r="L21" s="3"/>
    </x:row>
    <x:row r="22" ht="24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24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24" customHeight="1">
      <x:c r="A24" s="3" t="str">
        <x:v>Socle agents HT / mois</x:v>
      </x:c>
      <x:c r="B24" s="13" t="n">
        <x:v>99</x:v>
      </x:c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 ht="24" customHeight="1">
      <x:c r="A25" s="3" t="str">
        <x:v>Frais généraux alloués / mois</x:v>
      </x:c>
      <x:c r="B25" s="13" t="n">
        <x:v>30</x:v>
      </x:c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 ht="24" customHeight="1">
      <x:c r="A26" s="3" t="str">
        <x:v>Acquisition allouée / cabinet</x:v>
      </x:c>
      <x:c r="B26" s="13" t="n">
        <x:v>300</x:v>
      </x:c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 ht="24" customHeight="1">
      <x:c r="A27" s="3" t="str">
        <x:v>Amortissement acquisition / mois</x:v>
      </x:c>
      <x:c r="B27" s="13" t="n">
        <x:v>12</x:v>
      </x:c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24" customHeight="1">
      <x:c r="A28" s="3" t="str">
        <x:v>Catalogue alloué / cabinet</x:v>
      </x:c>
      <x:c r="B28" s="13" t="n">
        <x:v>600</x:v>
      </x:c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4" customHeight="1">
      <x:c r="A29" s="3" t="str">
        <x:v>Amortissement catalogue / mois</x:v>
      </x:c>
      <x:c r="B29" s="13" t="n">
        <x:v>24</x:v>
      </x:c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4" customHeight="1">
      <x:c r="A30" s="3" t="str">
        <x:v>Marge variable cible</x:v>
      </x:c>
      <x:c r="B30" s="14" t="n">
        <x:v>0.7</x:v>
      </x:c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24" customHeight="1">
      <x:c r="A31" s="3" t="str">
        <x:v>Encaissements installation</x:v>
      </x:c>
      <x:c r="B31" s="7" t="n">
        <x:v>2</x:v>
      </x:c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24" customHeight="1">
      <x:c r="A32" s="19" t="str">
        <x:v>Prix API publics : USD par million de tokens</x:v>
      </x:c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24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34" customHeight="1">
      <x:c r="A34" s="12" t="str">
        <x:v>Modèle</x:v>
      </x:c>
      <x:c r="B34" s="12" t="str">
        <x:v>Entrée $/M</x:v>
      </x:c>
      <x:c r="C34" s="12" t="str">
        <x:v>Sortie $/M</x:v>
      </x:c>
      <x:c r="D34" s="12" t="str">
        <x:v>Entrée max.</x:v>
      </x:c>
      <x:c r="E34" s="12" t="str">
        <x:v>Sortie max.</x:v>
      </x:c>
      <x:c r="F34" s="3"/>
      <x:c r="G34" s="3"/>
      <x:c r="H34" s="3"/>
      <x:c r="I34" s="3"/>
      <x:c r="J34" s="3"/>
      <x:c r="K34" s="3"/>
      <x:c r="L34" s="3"/>
    </x:row>
    <x:row r="35" ht="24" customHeight="1">
      <x:c r="A35" s="3" t="str">
        <x:v>gpt-6.1-sol</x:v>
      </x:c>
      <x:c r="B35" s="20" t="n">
        <x:v>2</x:v>
      </x:c>
      <x:c r="C35" s="20" t="n">
        <x:v>10</x:v>
      </x:c>
      <x:c r="D35" s="21" t="n">
        <x:v>1050000</x:v>
      </x:c>
      <x:c r="E35" s="21" t="n">
        <x:v>128000</x:v>
      </x:c>
      <x:c r="F35" s="3"/>
      <x:c r="G35" s="3"/>
      <x:c r="H35" s="3"/>
      <x:c r="I35" s="3"/>
      <x:c r="J35" s="3"/>
      <x:c r="K35" s="3"/>
      <x:c r="L35" s="3"/>
    </x:row>
    <x:row r="36" ht="24" customHeight="1">
      <x:c r="A36" s="3" t="str">
        <x:v>claude-opus-5-5</x:v>
      </x:c>
      <x:c r="B36" s="20" t="n">
        <x:v>4</x:v>
      </x:c>
      <x:c r="C36" s="20" t="n">
        <x:v>20</x:v>
      </x:c>
      <x:c r="D36" s="21" t="n">
        <x:v>1000000</x:v>
      </x:c>
      <x:c r="E36" s="21" t="n">
        <x:v>128000</x:v>
      </x:c>
      <x:c r="F36" s="3"/>
      <x:c r="G36" s="3"/>
      <x:c r="H36" s="3"/>
      <x:c r="I36" s="3"/>
      <x:c r="J36" s="3"/>
      <x:c r="K36" s="3"/>
      <x:c r="L36" s="3"/>
    </x:row>
    <x:row r="37" ht="24" customHeight="1">
      <x:c r="A37" s="3" t="str">
        <x:v>gpt-6-astra</x:v>
      </x:c>
      <x:c r="B37" s="20" t="n">
        <x:v>10</x:v>
      </x:c>
      <x:c r="C37" s="20" t="n">
        <x:v>50</x:v>
      </x:c>
      <x:c r="D37" s="21" t="n">
        <x:v>1050000</x:v>
      </x:c>
      <x:c r="E37" s="21" t="n">
        <x:v>128000</x:v>
      </x:c>
      <x:c r="F37" s="3"/>
      <x:c r="G37" s="3"/>
      <x:c r="H37" s="3"/>
      <x:c r="I37" s="3"/>
      <x:c r="J37" s="3"/>
      <x:c r="K37" s="3"/>
      <x:c r="L37" s="3"/>
    </x:row>
    <x:row r="38" ht="24" customHeight="1">
      <x:c r="A38" s="3" t="str">
        <x:v>glm-5.3-flash</x:v>
      </x:c>
      <x:c r="B38" s="20" t="n">
        <x:v>0.15</x:v>
      </x:c>
      <x:c r="C38" s="20" t="n">
        <x:v>0.5</x:v>
      </x:c>
      <x:c r="D38" s="21" t="n">
        <x:v>1048576</x:v>
      </x:c>
      <x:c r="E38" s="21" t="n">
        <x:v>128000</x:v>
      </x:c>
      <x:c r="F38" s="3"/>
      <x:c r="G38" s="3"/>
      <x:c r="H38" s="3"/>
      <x:c r="I38" s="3"/>
      <x:c r="J38" s="3"/>
      <x:c r="K38" s="3"/>
      <x:c r="L38" s="3"/>
    </x:row>
    <x:row r="39" ht="24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24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24" customHeight="1">
      <x:c r="A41" s="22" t="str">
        <x:v>https://api.mammouth.ai/public/models</x:v>
      </x:c>
      <x:c r="B41" s="22"/>
      <x:c r="C41" s="22"/>
      <x:c r="D41" s="22"/>
      <x:c r="E41" s="22"/>
      <x:c r="F41" s="22"/>
      <x:c r="G41" s="3"/>
      <x:c r="H41" s="3"/>
      <x:c r="I41" s="3"/>
      <x:c r="J41" s="3"/>
      <x:c r="K41" s="3"/>
      <x:c r="L41" s="3"/>
    </x:row>
    <x:row r="42" ht="24" customHeight="1">
      <x:c r="A42" s="22" t="str">
        <x:v>https://info.mammouth.ai/fr/docs/api-quick-start/</x:v>
      </x:c>
      <x:c r="B42" s="22"/>
      <x:c r="C42" s="22"/>
      <x:c r="D42" s="22"/>
      <x:c r="E42" s="22"/>
      <x:c r="F42" s="22"/>
      <x:c r="G42" s="3"/>
      <x:c r="H42" s="3"/>
      <x:c r="I42" s="3"/>
      <x:c r="J42" s="3"/>
      <x:c r="K42" s="3"/>
      <x:c r="L42" s="3"/>
    </x:row>
    <x:row r="43" ht="24" customHeight="1">
      <x:c r="A43" s="22"/>
      <x:c r="B43" s="22"/>
      <x:c r="C43" s="22"/>
      <x:c r="D43" s="22"/>
      <x:c r="E43" s="22"/>
      <x:c r="F43" s="22"/>
      <x:c r="G43" s="3"/>
      <x:c r="H43" s="3"/>
      <x:c r="I43" s="3"/>
      <x:c r="J43" s="3"/>
      <x:c r="K43" s="3"/>
      <x:c r="L43" s="3"/>
    </x:row>
    <x:row r="44" ht="24" customHeight="1">
      <x:c r="A44" s="22" t="str">
        <x:v>FX = budget prudent, pas cours observé. Aucun crédit gratuit ni cache déduit.</x:v>
      </x:c>
      <x:c r="B44" s="22"/>
      <x:c r="C44" s="22"/>
      <x:c r="D44" s="22"/>
      <x:c r="E44" s="22"/>
      <x:c r="F44" s="22"/>
      <x:c r="G44" s="3"/>
      <x:c r="H44" s="3"/>
      <x:c r="I44" s="3"/>
      <x:c r="J44" s="3"/>
      <x:c r="K44" s="3"/>
      <x:c r="L44" s="3"/>
    </x:row>
    <x:row r="45" ht="24" customHeight="1">
      <x:c r="A45" s="22" t="str">
        <x:v>Autres coûts = provisions ; licences et infrastructure dédiées à confirmer au devis.</x:v>
      </x:c>
      <x:c r="B45" s="22"/>
      <x:c r="C45" s="22"/>
      <x:c r="D45" s="22"/>
      <x:c r="E45" s="22"/>
      <x:c r="F45" s="22"/>
      <x:c r="G45" s="3"/>
      <x:c r="H45" s="3"/>
      <x:c r="I45" s="3"/>
      <x:c r="J45" s="3"/>
      <x:c r="K45" s="3"/>
      <x:c r="L45" s="3"/>
    </x:row>
    <x:row r="46" ht="24" customHeight="1">
      <x:c r="A46" s="22" t="str">
        <x:v>Encaissement = hypothèse interne, pas tarif contractuel de Mammouth.</x:v>
      </x:c>
      <x:c r="B46" s="22"/>
      <x:c r="C46" s="22"/>
      <x:c r="D46" s="22"/>
      <x:c r="E46" s="22"/>
      <x:c r="F46" s="22"/>
      <x:c r="G46" s="3"/>
      <x:c r="H46" s="3"/>
      <x:c r="I46" s="3"/>
      <x:c r="J46" s="3"/>
      <x:c r="K46" s="3"/>
      <x:c r="L46" s="3"/>
    </x:row>
    <x:row r="47" ht="24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 ht="24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 ht="24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 ht="24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</x:sheetData>
  <x:dataValidations count="1">
    <x:dataValidation type="whole" operator="between" sqref="C5">
      <x:formula1>1</x:formula1>
      <x:formula2>3</x:formula2>
    </x:dataValidation>
  </x:dataValidations>
  <x:pageMargins left="0.7" right="0.7" top="0.75" bottom="0.75" header="0.3" footer="0.3"/>
</x:worksheet>
</file>